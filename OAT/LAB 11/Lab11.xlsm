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C:\Users\student\Desktop\KRISH119\"/>
    </mc:Choice>
  </mc:AlternateContent>
  <bookViews>
    <workbookView xWindow="0" yWindow="0" windowWidth="20490" windowHeight="8340" activeTab="4"/>
  </bookViews>
  <sheets>
    <sheet name="Employee Table" sheetId="1" r:id="rId1"/>
    <sheet name="Macro" sheetId="2" r:id="rId2"/>
    <sheet name="Pivat Chart1" sheetId="3" r:id="rId3"/>
    <sheet name="Pivat Chart2" sheetId="4" r:id="rId4"/>
    <sheet name="Pivat Chart3" sheetId="5" r:id="rId5"/>
  </sheets>
  <calcPr calcId="152511"/>
  <pivotCaches>
    <pivotCache cacheId="3" r:id="rId6"/>
    <pivotCache cacheId="8" r:id="rId7"/>
    <pivotCache cacheId="12" r:id="rId8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2" l="1"/>
  <c r="D16" i="2"/>
  <c r="G16" i="2" s="1"/>
  <c r="H16" i="2" s="1"/>
  <c r="E15" i="2"/>
  <c r="D15" i="2"/>
  <c r="G15" i="2" s="1"/>
  <c r="H15" i="2" s="1"/>
  <c r="E14" i="2"/>
  <c r="D14" i="2"/>
  <c r="G14" i="2" s="1"/>
  <c r="H14" i="2" s="1"/>
  <c r="E13" i="2"/>
  <c r="D13" i="2"/>
  <c r="G13" i="2" s="1"/>
  <c r="H13" i="2" s="1"/>
  <c r="H12" i="2"/>
  <c r="G12" i="2"/>
  <c r="E12" i="2"/>
  <c r="D12" i="2"/>
  <c r="H11" i="2"/>
  <c r="G11" i="2"/>
  <c r="E11" i="2"/>
  <c r="D11" i="2"/>
  <c r="H10" i="2"/>
  <c r="G10" i="2"/>
  <c r="E10" i="2"/>
  <c r="D10" i="2"/>
  <c r="H9" i="2"/>
  <c r="G9" i="2"/>
  <c r="E9" i="2"/>
  <c r="D9" i="2"/>
  <c r="H8" i="2"/>
  <c r="G8" i="2"/>
  <c r="E8" i="2"/>
  <c r="D8" i="2"/>
  <c r="H7" i="2"/>
  <c r="G7" i="2"/>
  <c r="E7" i="2"/>
  <c r="D7" i="2"/>
  <c r="H6" i="2"/>
  <c r="G6" i="2"/>
  <c r="E6" i="2"/>
  <c r="D6" i="2"/>
  <c r="H5" i="2"/>
  <c r="G5" i="2"/>
  <c r="E5" i="2"/>
  <c r="D5" i="2"/>
  <c r="H4" i="2"/>
  <c r="G4" i="2"/>
  <c r="E4" i="2"/>
  <c r="D4" i="2"/>
  <c r="H3" i="2"/>
  <c r="G3" i="2"/>
  <c r="E3" i="2"/>
  <c r="D3" i="2"/>
  <c r="H2" i="2"/>
  <c r="G2" i="2"/>
  <c r="E2" i="2"/>
  <c r="D2" i="2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2" i="1"/>
  <c r="D2" i="1"/>
  <c r="E2" i="1"/>
  <c r="D3" i="1"/>
  <c r="E3" i="1"/>
  <c r="D4" i="1"/>
  <c r="E4" i="1"/>
  <c r="D5" i="1"/>
  <c r="E5" i="1"/>
  <c r="D6" i="1"/>
  <c r="E6" i="1"/>
  <c r="D7" i="1"/>
  <c r="E7" i="1"/>
  <c r="D8" i="1"/>
  <c r="E8" i="1"/>
  <c r="D9" i="1"/>
  <c r="E9" i="1"/>
  <c r="D10" i="1"/>
  <c r="E10" i="1"/>
  <c r="D11" i="1"/>
  <c r="E11" i="1"/>
  <c r="D12" i="1"/>
  <c r="E12" i="1"/>
  <c r="D13" i="1"/>
  <c r="E13" i="1"/>
  <c r="D14" i="1"/>
  <c r="E14" i="1"/>
  <c r="D15" i="1"/>
  <c r="E15" i="1"/>
  <c r="D16" i="1"/>
  <c r="E16" i="1"/>
</calcChain>
</file>

<file path=xl/sharedStrings.xml><?xml version="1.0" encoding="utf-8"?>
<sst xmlns="http://schemas.openxmlformats.org/spreadsheetml/2006/main" count="177" uniqueCount="58">
  <si>
    <t>EmpID</t>
  </si>
  <si>
    <t>EmpName</t>
  </si>
  <si>
    <t>JAL SAMANI</t>
  </si>
  <si>
    <t>MEET RAMAVAT</t>
  </si>
  <si>
    <t>KRISH KASUNDRA</t>
  </si>
  <si>
    <t>HARPIT CHATTROLA</t>
  </si>
  <si>
    <t>MILAN VAGHELA</t>
  </si>
  <si>
    <t>PRANAV PATEL</t>
  </si>
  <si>
    <t>REYANSH DETROJA</t>
  </si>
  <si>
    <t>ADITYA PANDYA</t>
  </si>
  <si>
    <t>HEET KALAVADIYA</t>
  </si>
  <si>
    <t>DARSHAN VADHER</t>
  </si>
  <si>
    <t>JEEL DADHANIYA</t>
  </si>
  <si>
    <t>DHRUV ZALA</t>
  </si>
  <si>
    <t>RONAK RAMANI</t>
  </si>
  <si>
    <t>RUT SITAPARA</t>
  </si>
  <si>
    <t>DIVY PATEL</t>
  </si>
  <si>
    <t>Basic Pay</t>
  </si>
  <si>
    <t>HRA</t>
  </si>
  <si>
    <t>DA</t>
  </si>
  <si>
    <t>Deduction</t>
  </si>
  <si>
    <t>Gross Salary</t>
  </si>
  <si>
    <t>Net Pay</t>
  </si>
  <si>
    <t>Krish Patel</t>
  </si>
  <si>
    <t>Vansh Gohil</t>
  </si>
  <si>
    <t>Tirth Joshi</t>
  </si>
  <si>
    <t>Prince Patel</t>
  </si>
  <si>
    <t>Jal Patel</t>
  </si>
  <si>
    <t>Radhey Bhadja</t>
  </si>
  <si>
    <t>Rudra Kundaria</t>
  </si>
  <si>
    <t>Khush Chavda</t>
  </si>
  <si>
    <t>Samarth Panara</t>
  </si>
  <si>
    <t>Smit Kanani</t>
  </si>
  <si>
    <t>Chintan Kanani</t>
  </si>
  <si>
    <t>Akash Gohil</t>
  </si>
  <si>
    <t>Neev Patel</t>
  </si>
  <si>
    <t>Mahendra Dhoni</t>
  </si>
  <si>
    <t>Hardik Pandya</t>
  </si>
  <si>
    <t>EMP ID</t>
  </si>
  <si>
    <t>EMP NAME</t>
  </si>
  <si>
    <t>BASIC PAY</t>
  </si>
  <si>
    <t>DEDUCTIONS</t>
  </si>
  <si>
    <t>GROSS SALARY</t>
  </si>
  <si>
    <t>NET PAY</t>
  </si>
  <si>
    <t>Sales</t>
  </si>
  <si>
    <t>Region</t>
  </si>
  <si>
    <t>Product</t>
  </si>
  <si>
    <t>AC</t>
  </si>
  <si>
    <t>TV</t>
  </si>
  <si>
    <t>Washing Machine</t>
  </si>
  <si>
    <t>Iphone</t>
  </si>
  <si>
    <t>India</t>
  </si>
  <si>
    <t>Pakistan</t>
  </si>
  <si>
    <t>China</t>
  </si>
  <si>
    <t>New York</t>
  </si>
  <si>
    <t>Sum of Sales</t>
  </si>
  <si>
    <t>Row Labels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</si>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</sst>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E96BF3"/>
        <bgColor indexed="64"/>
      </patternFill>
    </fill>
    <fill>
      <patternFill patternType="solid">
        <fgColor rgb="FF74D6EA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2" borderId="0" xfId="0" applyFont="1" applyFill="1"/>
    <xf numFmtId="0" fontId="1" fillId="3" borderId="0" xfId="0" applyFont="1" applyFill="1"/>
    <xf numFmtId="0" fontId="1" fillId="3" borderId="1" xfId="0" applyFont="1" applyFill="1" applyBorder="1"/>
    <xf numFmtId="0" fontId="1" fillId="4" borderId="1" xfId="0" applyFont="1" applyFill="1" applyBorder="1"/>
    <xf numFmtId="0" fontId="1" fillId="5" borderId="1" xfId="0" applyFont="1" applyFill="1" applyBorder="1"/>
    <xf numFmtId="0" fontId="1" fillId="5" borderId="0" xfId="0" applyFont="1" applyFill="1"/>
    <xf numFmtId="0" fontId="1" fillId="2" borderId="1" xfId="0" applyFont="1" applyFill="1" applyBorder="1"/>
    <xf numFmtId="0" fontId="1" fillId="6" borderId="1" xfId="0" applyFont="1" applyFill="1" applyBorder="1"/>
    <xf numFmtId="0" fontId="1" fillId="7" borderId="1" xfId="0" applyFont="1" applyFill="1" applyBorder="1"/>
    <xf numFmtId="0" fontId="1" fillId="8" borderId="1" xfId="0" applyFont="1" applyFill="1" applyBorder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1" fillId="9" borderId="1" xfId="0" applyFont="1" applyFill="1" applyBorder="1"/>
    <xf numFmtId="0" fontId="1" fillId="10" borderId="1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74D6EA"/>
      <color rgb="FFE96B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[Lab11.xlsm]Pivat Chart1!PivotTable1</c:name>
    <c:fmtId val="0"/>
  </c:pivotSource>
  <c:chart>
    <c:title>
      <c:layout>
        <c:manualLayout>
          <c:xMode val="edge"/>
          <c:yMode val="edge"/>
          <c:x val="0.43124291853006919"/>
          <c:y val="0.121030645817160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'Pivat Chart1'!$G$1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'Pivat Chart1'!$F$2:$F$6</c:f>
              <c:strCache>
                <c:ptCount val="4"/>
                <c:pt idx="0">
                  <c:v>China</c:v>
                </c:pt>
                <c:pt idx="1">
                  <c:v>India</c:v>
                </c:pt>
                <c:pt idx="2">
                  <c:v>New York</c:v>
                </c:pt>
                <c:pt idx="3">
                  <c:v>Pakistan</c:v>
                </c:pt>
              </c:strCache>
            </c:strRef>
          </c:cat>
          <c:val>
            <c:numRef>
              <c:f>'Pivat Chart1'!$G$2:$G$6</c:f>
              <c:numCache>
                <c:formatCode>General</c:formatCode>
                <c:ptCount val="4"/>
                <c:pt idx="0">
                  <c:v>120000</c:v>
                </c:pt>
                <c:pt idx="1">
                  <c:v>115000</c:v>
                </c:pt>
                <c:pt idx="2">
                  <c:v>113000</c:v>
                </c:pt>
                <c:pt idx="3">
                  <c:v>60000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2743696"/>
        <c:axId val="2122739344"/>
      </c:barChart>
      <c:catAx>
        <c:axId val="2122743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2739344"/>
        <c:crosses val="autoZero"/>
        <c:auto val="1"/>
        <c:lblAlgn val="ctr"/>
        <c:lblOffset val="100"/>
        <c:noMultiLvlLbl val="0"/>
      </c:catAx>
      <c:valAx>
        <c:axId val="2122739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2743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[Lab11.xlsm]Pivat Chart2!PivotTable2</c:name>
    <c:fmtId val="0"/>
  </c:pivotSource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'Pivat Chart2'!$F$1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'Pivat Chart2'!$E$2:$E$6</c:f>
              <c:strCache>
                <c:ptCount val="4"/>
                <c:pt idx="0">
                  <c:v>AC</c:v>
                </c:pt>
                <c:pt idx="1">
                  <c:v>Iphone</c:v>
                </c:pt>
                <c:pt idx="2">
                  <c:v>TV</c:v>
                </c:pt>
                <c:pt idx="3">
                  <c:v>Washing Machine</c:v>
                </c:pt>
              </c:strCache>
            </c:strRef>
          </c:cat>
          <c:val>
            <c:numRef>
              <c:f>'Pivat Chart2'!$F$2:$F$6</c:f>
              <c:numCache>
                <c:formatCode>General</c:formatCode>
                <c:ptCount val="4"/>
                <c:pt idx="0">
                  <c:v>50000</c:v>
                </c:pt>
                <c:pt idx="1">
                  <c:v>152000</c:v>
                </c:pt>
                <c:pt idx="2">
                  <c:v>70000</c:v>
                </c:pt>
                <c:pt idx="3">
                  <c:v>105000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92417488"/>
        <c:axId val="1992418576"/>
      </c:barChart>
      <c:catAx>
        <c:axId val="1992417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2418576"/>
        <c:crosses val="autoZero"/>
        <c:auto val="1"/>
        <c:lblAlgn val="ctr"/>
        <c:lblOffset val="100"/>
        <c:noMultiLvlLbl val="0"/>
      </c:catAx>
      <c:valAx>
        <c:axId val="1992418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2417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[Lab11.xlsm]Pivat Chart3!PivotTable3</c:name>
    <c:fmtId val="0"/>
  </c:pivotSource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'Pivat Chart3'!$F$1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'Pivat Chart3'!$E$2:$E$17</c:f>
              <c:multiLvlStrCache>
                <c:ptCount val="11"/>
                <c:lvl>
                  <c:pt idx="0">
                    <c:v>Iphone</c:v>
                  </c:pt>
                  <c:pt idx="1">
                    <c:v>TV</c:v>
                  </c:pt>
                  <c:pt idx="2">
                    <c:v>Washing Machine</c:v>
                  </c:pt>
                  <c:pt idx="3">
                    <c:v>AC</c:v>
                  </c:pt>
                  <c:pt idx="4">
                    <c:v>Iphone</c:v>
                  </c:pt>
                  <c:pt idx="5">
                    <c:v>Washing Machine</c:v>
                  </c:pt>
                  <c:pt idx="6">
                    <c:v>AC</c:v>
                  </c:pt>
                  <c:pt idx="7">
                    <c:v>Iphone</c:v>
                  </c:pt>
                  <c:pt idx="8">
                    <c:v>Washing Machine</c:v>
                  </c:pt>
                  <c:pt idx="9">
                    <c:v>AC</c:v>
                  </c:pt>
                  <c:pt idx="10">
                    <c:v>TV</c:v>
                  </c:pt>
                </c:lvl>
                <c:lvl>
                  <c:pt idx="0">
                    <c:v>China</c:v>
                  </c:pt>
                  <c:pt idx="3">
                    <c:v>India</c:v>
                  </c:pt>
                  <c:pt idx="6">
                    <c:v>New York</c:v>
                  </c:pt>
                  <c:pt idx="9">
                    <c:v>Pakistan</c:v>
                  </c:pt>
                </c:lvl>
              </c:multiLvlStrCache>
            </c:multiLvlStrRef>
          </c:cat>
          <c:val>
            <c:numRef>
              <c:f>'Pivat Chart3'!$F$2:$F$17</c:f>
              <c:numCache>
                <c:formatCode>General</c:formatCode>
                <c:ptCount val="11"/>
                <c:pt idx="0">
                  <c:v>20000</c:v>
                </c:pt>
                <c:pt idx="1">
                  <c:v>50000</c:v>
                </c:pt>
                <c:pt idx="2">
                  <c:v>50000</c:v>
                </c:pt>
                <c:pt idx="3">
                  <c:v>10000</c:v>
                </c:pt>
                <c:pt idx="4">
                  <c:v>90000</c:v>
                </c:pt>
                <c:pt idx="5">
                  <c:v>15000</c:v>
                </c:pt>
                <c:pt idx="6">
                  <c:v>31000</c:v>
                </c:pt>
                <c:pt idx="7">
                  <c:v>42000</c:v>
                </c:pt>
                <c:pt idx="8">
                  <c:v>40000</c:v>
                </c:pt>
                <c:pt idx="9">
                  <c:v>40000</c:v>
                </c:pt>
                <c:pt idx="10">
                  <c:v>20000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9267808"/>
        <c:axId val="99269440"/>
      </c:barChart>
      <c:catAx>
        <c:axId val="99267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269440"/>
        <c:crosses val="autoZero"/>
        <c:auto val="1"/>
        <c:lblAlgn val="ctr"/>
        <c:lblOffset val="100"/>
        <c:noMultiLvlLbl val="0"/>
      </c:catAx>
      <c:valAx>
        <c:axId val="99269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267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21980</xdr:colOff>
      <xdr:row>0</xdr:row>
      <xdr:rowOff>0</xdr:rowOff>
    </xdr:from>
    <xdr:to>
      <xdr:col>12</xdr:col>
      <xdr:colOff>65942</xdr:colOff>
      <xdr:row>14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36634</xdr:colOff>
      <xdr:row>0</xdr:row>
      <xdr:rowOff>29307</xdr:rowOff>
    </xdr:from>
    <xdr:to>
      <xdr:col>10</xdr:col>
      <xdr:colOff>512884</xdr:colOff>
      <xdr:row>10</xdr:row>
      <xdr:rowOff>45427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76200</xdr:colOff>
      <xdr:row>0</xdr:row>
      <xdr:rowOff>0</xdr:rowOff>
    </xdr:from>
    <xdr:to>
      <xdr:col>13</xdr:col>
      <xdr:colOff>381000</xdr:colOff>
      <xdr:row>14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tudent" refreshedDate="46063.616051620367" createdVersion="5" refreshedVersion="5" minRefreshableVersion="3" recordCount="15">
  <cacheSource type="worksheet">
    <worksheetSource ref="A1:C16" sheet="Pivat Chart1"/>
  </cacheSource>
  <cacheFields count="3">
    <cacheField name="Sales" numFmtId="0">
      <sharedItems containsSemiMixedTypes="0" containsString="0" containsNumber="1" containsInteger="1" minValue="10000" maxValue="50000"/>
    </cacheField>
    <cacheField name="Product" numFmtId="0">
      <sharedItems count="4">
        <s v="AC"/>
        <s v="TV"/>
        <s v="Washing Machine"/>
        <s v="Iphone"/>
      </sharedItems>
    </cacheField>
    <cacheField name="Region" numFmtId="0">
      <sharedItems count="4">
        <s v="India"/>
        <s v="Pakistan"/>
        <s v="China"/>
        <s v="New York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student" refreshedDate="46063.617035648145" createdVersion="5" refreshedVersion="5" minRefreshableVersion="3" recordCount="14">
  <cacheSource type="worksheet">
    <worksheetSource ref="A1:C15" sheet="Pivat Chart2"/>
  </cacheSource>
  <cacheFields count="3">
    <cacheField name="Sales" numFmtId="0">
      <sharedItems containsSemiMixedTypes="0" containsString="0" containsNumber="1" containsInteger="1" minValue="10000" maxValue="50000" count="7">
        <n v="10000"/>
        <n v="20000"/>
        <n v="50000"/>
        <n v="40000"/>
        <n v="30000"/>
        <n v="15000"/>
        <n v="22000"/>
      </sharedItems>
    </cacheField>
    <cacheField name="Product" numFmtId="0">
      <sharedItems count="4">
        <s v="AC"/>
        <s v="TV"/>
        <s v="Washing Machine"/>
        <s v="Iphone"/>
      </sharedItems>
    </cacheField>
    <cacheField name="Region" numFmtId="0">
      <sharedItems count="4">
        <s v="India"/>
        <s v="Pakistan"/>
        <s v="China"/>
        <s v="New York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student" refreshedDate="46063.618519560187" createdVersion="5" refreshedVersion="5" minRefreshableVersion="3" recordCount="15">
  <cacheSource type="worksheet">
    <worksheetSource ref="A1:C16" sheet="Pivat Chart3"/>
  </cacheSource>
  <cacheFields count="3">
    <cacheField name="Sales" numFmtId="0">
      <sharedItems containsSemiMixedTypes="0" containsString="0" containsNumber="1" containsInteger="1" minValue="10000" maxValue="50000"/>
    </cacheField>
    <cacheField name="Product" numFmtId="0">
      <sharedItems count="4">
        <s v="AC"/>
        <s v="TV"/>
        <s v="Washing Machine"/>
        <s v="Iphone"/>
      </sharedItems>
    </cacheField>
    <cacheField name="Region" numFmtId="0">
      <sharedItems count="4">
        <s v="India"/>
        <s v="Pakistan"/>
        <s v="China"/>
        <s v="New York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5">
  <r>
    <n v="10000"/>
    <x v="0"/>
    <x v="0"/>
  </r>
  <r>
    <n v="20000"/>
    <x v="1"/>
    <x v="1"/>
  </r>
  <r>
    <n v="50000"/>
    <x v="2"/>
    <x v="2"/>
  </r>
  <r>
    <n v="40000"/>
    <x v="3"/>
    <x v="0"/>
  </r>
  <r>
    <n v="20000"/>
    <x v="3"/>
    <x v="2"/>
  </r>
  <r>
    <n v="30000"/>
    <x v="0"/>
    <x v="1"/>
  </r>
  <r>
    <n v="15000"/>
    <x v="2"/>
    <x v="0"/>
  </r>
  <r>
    <n v="50000"/>
    <x v="3"/>
    <x v="0"/>
  </r>
  <r>
    <n v="20000"/>
    <x v="1"/>
    <x v="2"/>
  </r>
  <r>
    <n v="30000"/>
    <x v="1"/>
    <x v="2"/>
  </r>
  <r>
    <n v="10000"/>
    <x v="0"/>
    <x v="1"/>
  </r>
  <r>
    <n v="40000"/>
    <x v="2"/>
    <x v="3"/>
  </r>
  <r>
    <n v="20000"/>
    <x v="3"/>
    <x v="3"/>
  </r>
  <r>
    <n v="22000"/>
    <x v="3"/>
    <x v="3"/>
  </r>
  <r>
    <n v="31000"/>
    <x v="0"/>
    <x v="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4">
  <r>
    <x v="0"/>
    <x v="0"/>
    <x v="0"/>
  </r>
  <r>
    <x v="1"/>
    <x v="1"/>
    <x v="1"/>
  </r>
  <r>
    <x v="2"/>
    <x v="2"/>
    <x v="2"/>
  </r>
  <r>
    <x v="3"/>
    <x v="3"/>
    <x v="0"/>
  </r>
  <r>
    <x v="1"/>
    <x v="3"/>
    <x v="2"/>
  </r>
  <r>
    <x v="4"/>
    <x v="0"/>
    <x v="1"/>
  </r>
  <r>
    <x v="5"/>
    <x v="2"/>
    <x v="0"/>
  </r>
  <r>
    <x v="2"/>
    <x v="3"/>
    <x v="0"/>
  </r>
  <r>
    <x v="1"/>
    <x v="1"/>
    <x v="2"/>
  </r>
  <r>
    <x v="4"/>
    <x v="1"/>
    <x v="2"/>
  </r>
  <r>
    <x v="0"/>
    <x v="0"/>
    <x v="1"/>
  </r>
  <r>
    <x v="3"/>
    <x v="2"/>
    <x v="3"/>
  </r>
  <r>
    <x v="1"/>
    <x v="3"/>
    <x v="3"/>
  </r>
  <r>
    <x v="6"/>
    <x v="3"/>
    <x v="3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5">
  <r>
    <n v="10000"/>
    <x v="0"/>
    <x v="0"/>
  </r>
  <r>
    <n v="20000"/>
    <x v="1"/>
    <x v="1"/>
  </r>
  <r>
    <n v="50000"/>
    <x v="2"/>
    <x v="2"/>
  </r>
  <r>
    <n v="40000"/>
    <x v="3"/>
    <x v="0"/>
  </r>
  <r>
    <n v="20000"/>
    <x v="3"/>
    <x v="2"/>
  </r>
  <r>
    <n v="30000"/>
    <x v="0"/>
    <x v="1"/>
  </r>
  <r>
    <n v="15000"/>
    <x v="2"/>
    <x v="0"/>
  </r>
  <r>
    <n v="50000"/>
    <x v="3"/>
    <x v="0"/>
  </r>
  <r>
    <n v="20000"/>
    <x v="1"/>
    <x v="2"/>
  </r>
  <r>
    <n v="30000"/>
    <x v="1"/>
    <x v="2"/>
  </r>
  <r>
    <n v="10000"/>
    <x v="0"/>
    <x v="1"/>
  </r>
  <r>
    <n v="40000"/>
    <x v="2"/>
    <x v="3"/>
  </r>
  <r>
    <n v="20000"/>
    <x v="3"/>
    <x v="3"/>
  </r>
  <r>
    <n v="22000"/>
    <x v="3"/>
    <x v="3"/>
  </r>
  <r>
    <n v="31000"/>
    <x v="0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1">
  <location ref="F1:G6" firstHeaderRow="1" firstDataRow="1" firstDataCol="1"/>
  <pivotFields count="3">
    <pivotField dataField="1" showAll="0"/>
    <pivotField showAll="0">
      <items count="5">
        <item x="0"/>
        <item x="3"/>
        <item x="1"/>
        <item x="2"/>
        <item t="default"/>
      </items>
    </pivotField>
    <pivotField axis="axisRow" showAll="0">
      <items count="5">
        <item x="2"/>
        <item x="0"/>
        <item x="3"/>
        <item x="1"/>
        <item t="default"/>
      </items>
    </pivotField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Sales" fld="0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2" cacheId="8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1">
  <location ref="E1:F6" firstHeaderRow="1" firstDataRow="1" firstDataCol="1"/>
  <pivotFields count="3">
    <pivotField dataField="1" showAll="0">
      <items count="8">
        <item x="0"/>
        <item x="5"/>
        <item x="1"/>
        <item x="6"/>
        <item x="4"/>
        <item x="3"/>
        <item x="2"/>
        <item t="default"/>
      </items>
    </pivotField>
    <pivotField axis="axisRow" showAll="0">
      <items count="5">
        <item x="0"/>
        <item x="3"/>
        <item x="1"/>
        <item x="2"/>
        <item t="default"/>
      </items>
    </pivotField>
    <pivotField showAll="0">
      <items count="5">
        <item x="2"/>
        <item x="0"/>
        <item x="3"/>
        <item x="1"/>
        <item t="default"/>
      </items>
    </pivotField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Sales" fld="0" baseField="0" baseItem="0"/>
  </dataFields>
  <chartFormats count="1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3" cacheId="1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1">
  <location ref="E1:F17" firstHeaderRow="1" firstDataRow="1" firstDataCol="1"/>
  <pivotFields count="3">
    <pivotField dataField="1" showAll="0"/>
    <pivotField axis="axisRow" showAll="0">
      <items count="5">
        <item x="0"/>
        <item x="3"/>
        <item x="1"/>
        <item x="2"/>
        <item t="default"/>
      </items>
    </pivotField>
    <pivotField axis="axisRow" showAll="0">
      <items count="5">
        <item x="2"/>
        <item x="0"/>
        <item x="3"/>
        <item x="1"/>
        <item t="default"/>
      </items>
    </pivotField>
  </pivotFields>
  <rowFields count="2">
    <field x="2"/>
    <field x="1"/>
  </rowFields>
  <rowItems count="16">
    <i>
      <x/>
    </i>
    <i r="1">
      <x v="1"/>
    </i>
    <i r="1">
      <x v="2"/>
    </i>
    <i r="1">
      <x v="3"/>
    </i>
    <i>
      <x v="1"/>
    </i>
    <i r="1">
      <x/>
    </i>
    <i r="1">
      <x v="1"/>
    </i>
    <i r="1">
      <x v="3"/>
    </i>
    <i>
      <x v="2"/>
    </i>
    <i r="1">
      <x/>
    </i>
    <i r="1">
      <x v="1"/>
    </i>
    <i r="1">
      <x v="3"/>
    </i>
    <i>
      <x v="3"/>
    </i>
    <i r="1">
      <x/>
    </i>
    <i r="1">
      <x v="2"/>
    </i>
    <i t="grand">
      <x/>
    </i>
  </rowItems>
  <colItems count="1">
    <i/>
  </colItems>
  <dataFields count="1">
    <dataField name="Sum of Sales" fld="0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6"/>
  <sheetViews>
    <sheetView workbookViewId="0">
      <selection activeCell="C2" sqref="C2:C16"/>
    </sheetView>
  </sheetViews>
  <sheetFormatPr defaultRowHeight="15" x14ac:dyDescent="0.25"/>
  <cols>
    <col min="2" max="2" width="20.140625" customWidth="1"/>
    <col min="6" max="6" width="11.7109375" customWidth="1"/>
    <col min="7" max="7" width="13.42578125" customWidth="1"/>
  </cols>
  <sheetData>
    <row r="1" spans="1:8" x14ac:dyDescent="0.25">
      <c r="A1" s="1" t="s">
        <v>0</v>
      </c>
      <c r="B1" s="1" t="s">
        <v>1</v>
      </c>
      <c r="C1" s="1" t="s">
        <v>17</v>
      </c>
      <c r="D1" s="1" t="s">
        <v>18</v>
      </c>
      <c r="E1" s="1" t="s">
        <v>19</v>
      </c>
      <c r="F1" s="1" t="s">
        <v>20</v>
      </c>
      <c r="G1" s="1" t="s">
        <v>21</v>
      </c>
      <c r="H1" s="1" t="s">
        <v>22</v>
      </c>
    </row>
    <row r="2" spans="1:8" x14ac:dyDescent="0.25">
      <c r="A2" s="2">
        <v>101</v>
      </c>
      <c r="B2" s="4" t="s">
        <v>23</v>
      </c>
      <c r="C2" s="5">
        <v>10000</v>
      </c>
      <c r="D2" s="5">
        <f>C2*10%</f>
        <v>1000</v>
      </c>
      <c r="E2" s="6">
        <f>C2*5%</f>
        <v>500</v>
      </c>
      <c r="F2" s="5">
        <v>1200</v>
      </c>
      <c r="G2" s="6">
        <f>C2+D2+E2</f>
        <v>11500</v>
      </c>
      <c r="H2" s="6">
        <f>G2-F2</f>
        <v>10300</v>
      </c>
    </row>
    <row r="3" spans="1:8" x14ac:dyDescent="0.25">
      <c r="A3" s="2">
        <v>102</v>
      </c>
      <c r="B3" s="4" t="s">
        <v>24</v>
      </c>
      <c r="C3" s="5">
        <v>20000</v>
      </c>
      <c r="D3" s="5">
        <f t="shared" ref="D3:D16" si="0">C3*10%</f>
        <v>2000</v>
      </c>
      <c r="E3" s="6">
        <f t="shared" ref="E3:E16" si="1">C3*5%</f>
        <v>1000</v>
      </c>
      <c r="F3" s="5">
        <v>1000</v>
      </c>
      <c r="G3" s="6">
        <f t="shared" ref="G3:G16" si="2">C3+D3+E3</f>
        <v>23000</v>
      </c>
      <c r="H3" s="6">
        <f t="shared" ref="H3:H16" si="3">G3-F3</f>
        <v>22000</v>
      </c>
    </row>
    <row r="4" spans="1:8" x14ac:dyDescent="0.25">
      <c r="A4" s="3">
        <v>103</v>
      </c>
      <c r="B4" s="4" t="s">
        <v>25</v>
      </c>
      <c r="C4" s="5">
        <v>50000</v>
      </c>
      <c r="D4" s="5">
        <f t="shared" si="0"/>
        <v>5000</v>
      </c>
      <c r="E4" s="6">
        <f t="shared" si="1"/>
        <v>2500</v>
      </c>
      <c r="F4" s="5">
        <v>2000</v>
      </c>
      <c r="G4" s="6">
        <f t="shared" si="2"/>
        <v>57500</v>
      </c>
      <c r="H4" s="6">
        <f t="shared" si="3"/>
        <v>55500</v>
      </c>
    </row>
    <row r="5" spans="1:8" x14ac:dyDescent="0.25">
      <c r="A5" s="3">
        <v>104</v>
      </c>
      <c r="B5" s="4" t="s">
        <v>26</v>
      </c>
      <c r="C5" s="5">
        <v>40000</v>
      </c>
      <c r="D5" s="5">
        <f t="shared" si="0"/>
        <v>4000</v>
      </c>
      <c r="E5" s="6">
        <f t="shared" si="1"/>
        <v>2000</v>
      </c>
      <c r="F5" s="5">
        <v>1234</v>
      </c>
      <c r="G5" s="6">
        <f t="shared" si="2"/>
        <v>46000</v>
      </c>
      <c r="H5" s="6">
        <f t="shared" si="3"/>
        <v>44766</v>
      </c>
    </row>
    <row r="6" spans="1:8" x14ac:dyDescent="0.25">
      <c r="A6" s="3">
        <v>105</v>
      </c>
      <c r="B6" s="4" t="s">
        <v>27</v>
      </c>
      <c r="C6" s="5">
        <v>20000</v>
      </c>
      <c r="D6" s="5">
        <f t="shared" si="0"/>
        <v>2000</v>
      </c>
      <c r="E6" s="6">
        <f t="shared" si="1"/>
        <v>1000</v>
      </c>
      <c r="F6" s="5">
        <v>2564</v>
      </c>
      <c r="G6" s="6">
        <f t="shared" si="2"/>
        <v>23000</v>
      </c>
      <c r="H6" s="6">
        <f t="shared" si="3"/>
        <v>20436</v>
      </c>
    </row>
    <row r="7" spans="1:8" x14ac:dyDescent="0.25">
      <c r="A7" s="3">
        <v>106</v>
      </c>
      <c r="B7" s="4" t="s">
        <v>28</v>
      </c>
      <c r="C7" s="5">
        <v>30000</v>
      </c>
      <c r="D7" s="5">
        <f t="shared" si="0"/>
        <v>3000</v>
      </c>
      <c r="E7" s="6">
        <f t="shared" si="1"/>
        <v>1500</v>
      </c>
      <c r="F7" s="5">
        <v>1200</v>
      </c>
      <c r="G7" s="6">
        <f t="shared" si="2"/>
        <v>34500</v>
      </c>
      <c r="H7" s="6">
        <f t="shared" si="3"/>
        <v>33300</v>
      </c>
    </row>
    <row r="8" spans="1:8" x14ac:dyDescent="0.25">
      <c r="A8" s="3">
        <v>107</v>
      </c>
      <c r="B8" s="4" t="s">
        <v>29</v>
      </c>
      <c r="C8" s="5">
        <v>15000</v>
      </c>
      <c r="D8" s="5">
        <f t="shared" si="0"/>
        <v>1500</v>
      </c>
      <c r="E8" s="6">
        <f t="shared" si="1"/>
        <v>750</v>
      </c>
      <c r="F8" s="5">
        <v>4230</v>
      </c>
      <c r="G8" s="6">
        <f t="shared" si="2"/>
        <v>17250</v>
      </c>
      <c r="H8" s="6">
        <f t="shared" si="3"/>
        <v>13020</v>
      </c>
    </row>
    <row r="9" spans="1:8" x14ac:dyDescent="0.25">
      <c r="A9" s="3">
        <v>108</v>
      </c>
      <c r="B9" s="4" t="s">
        <v>30</v>
      </c>
      <c r="C9" s="5">
        <v>50000</v>
      </c>
      <c r="D9" s="5">
        <f t="shared" si="0"/>
        <v>5000</v>
      </c>
      <c r="E9" s="6">
        <f t="shared" si="1"/>
        <v>2500</v>
      </c>
      <c r="F9" s="5">
        <v>5000</v>
      </c>
      <c r="G9" s="6">
        <f t="shared" si="2"/>
        <v>57500</v>
      </c>
      <c r="H9" s="6">
        <f t="shared" si="3"/>
        <v>52500</v>
      </c>
    </row>
    <row r="10" spans="1:8" x14ac:dyDescent="0.25">
      <c r="A10" s="3">
        <v>109</v>
      </c>
      <c r="B10" s="4" t="s">
        <v>31</v>
      </c>
      <c r="C10" s="5">
        <v>20000</v>
      </c>
      <c r="D10" s="5">
        <f t="shared" si="0"/>
        <v>2000</v>
      </c>
      <c r="E10" s="6">
        <f t="shared" si="1"/>
        <v>1000</v>
      </c>
      <c r="F10" s="5">
        <v>1234</v>
      </c>
      <c r="G10" s="6">
        <f t="shared" si="2"/>
        <v>23000</v>
      </c>
      <c r="H10" s="6">
        <f t="shared" si="3"/>
        <v>21766</v>
      </c>
    </row>
    <row r="11" spans="1:8" x14ac:dyDescent="0.25">
      <c r="A11" s="3">
        <v>110</v>
      </c>
      <c r="B11" s="4" t="s">
        <v>32</v>
      </c>
      <c r="C11" s="5">
        <v>30000</v>
      </c>
      <c r="D11" s="5">
        <f t="shared" si="0"/>
        <v>3000</v>
      </c>
      <c r="E11" s="6">
        <f t="shared" si="1"/>
        <v>1500</v>
      </c>
      <c r="F11" s="5">
        <v>1578</v>
      </c>
      <c r="G11" s="6">
        <f t="shared" si="2"/>
        <v>34500</v>
      </c>
      <c r="H11" s="6">
        <f t="shared" si="3"/>
        <v>32922</v>
      </c>
    </row>
    <row r="12" spans="1:8" x14ac:dyDescent="0.25">
      <c r="A12" s="3">
        <v>111</v>
      </c>
      <c r="B12" s="4" t="s">
        <v>33</v>
      </c>
      <c r="C12" s="5">
        <v>10000</v>
      </c>
      <c r="D12" s="5">
        <f t="shared" si="0"/>
        <v>1000</v>
      </c>
      <c r="E12" s="6">
        <f t="shared" si="1"/>
        <v>500</v>
      </c>
      <c r="F12" s="5">
        <v>1000</v>
      </c>
      <c r="G12" s="6">
        <f t="shared" si="2"/>
        <v>11500</v>
      </c>
      <c r="H12" s="6">
        <f t="shared" si="3"/>
        <v>10500</v>
      </c>
    </row>
    <row r="13" spans="1:8" x14ac:dyDescent="0.25">
      <c r="A13" s="3">
        <v>112</v>
      </c>
      <c r="B13" s="4" t="s">
        <v>34</v>
      </c>
      <c r="C13" s="5">
        <v>40000</v>
      </c>
      <c r="D13" s="5">
        <f t="shared" si="0"/>
        <v>4000</v>
      </c>
      <c r="E13" s="6">
        <f t="shared" si="1"/>
        <v>2000</v>
      </c>
      <c r="F13" s="5">
        <v>2000</v>
      </c>
      <c r="G13" s="6">
        <f t="shared" si="2"/>
        <v>46000</v>
      </c>
      <c r="H13" s="6">
        <f t="shared" si="3"/>
        <v>44000</v>
      </c>
    </row>
    <row r="14" spans="1:8" x14ac:dyDescent="0.25">
      <c r="A14" s="3">
        <v>113</v>
      </c>
      <c r="B14" s="4" t="s">
        <v>35</v>
      </c>
      <c r="C14" s="5">
        <v>20000</v>
      </c>
      <c r="D14" s="5">
        <f t="shared" si="0"/>
        <v>2000</v>
      </c>
      <c r="E14" s="6">
        <f t="shared" si="1"/>
        <v>1000</v>
      </c>
      <c r="F14" s="5">
        <v>3000</v>
      </c>
      <c r="G14" s="6">
        <f t="shared" si="2"/>
        <v>23000</v>
      </c>
      <c r="H14" s="6">
        <f t="shared" si="3"/>
        <v>20000</v>
      </c>
    </row>
    <row r="15" spans="1:8" x14ac:dyDescent="0.25">
      <c r="A15" s="3">
        <v>114</v>
      </c>
      <c r="B15" s="4" t="s">
        <v>36</v>
      </c>
      <c r="C15" s="5">
        <v>22000</v>
      </c>
      <c r="D15" s="5">
        <f t="shared" si="0"/>
        <v>2200</v>
      </c>
      <c r="E15" s="6">
        <f t="shared" si="1"/>
        <v>1100</v>
      </c>
      <c r="F15" s="5">
        <v>4000</v>
      </c>
      <c r="G15" s="6">
        <f t="shared" si="2"/>
        <v>25300</v>
      </c>
      <c r="H15" s="6">
        <f t="shared" si="3"/>
        <v>21300</v>
      </c>
    </row>
    <row r="16" spans="1:8" x14ac:dyDescent="0.25">
      <c r="A16" s="3">
        <v>115</v>
      </c>
      <c r="B16" s="4" t="s">
        <v>37</v>
      </c>
      <c r="C16" s="5">
        <v>31000</v>
      </c>
      <c r="D16" s="5">
        <f t="shared" si="0"/>
        <v>3100</v>
      </c>
      <c r="E16" s="6">
        <f t="shared" si="1"/>
        <v>1550</v>
      </c>
      <c r="F16" s="5">
        <v>2134</v>
      </c>
      <c r="G16" s="6">
        <f t="shared" si="2"/>
        <v>35650</v>
      </c>
      <c r="H16" s="6">
        <f t="shared" si="3"/>
        <v>33516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6"/>
  <sheetViews>
    <sheetView workbookViewId="0">
      <selection activeCell="I1" sqref="I1"/>
    </sheetView>
  </sheetViews>
  <sheetFormatPr defaultRowHeight="15" x14ac:dyDescent="0.25"/>
  <sheetData>
    <row r="1" spans="1:8" x14ac:dyDescent="0.25">
      <c r="A1" s="7" t="s">
        <v>38</v>
      </c>
      <c r="B1" s="7" t="s">
        <v>39</v>
      </c>
      <c r="C1" s="7" t="s">
        <v>40</v>
      </c>
      <c r="D1" s="7" t="s">
        <v>18</v>
      </c>
      <c r="E1" s="7" t="s">
        <v>19</v>
      </c>
      <c r="F1" s="7" t="s">
        <v>41</v>
      </c>
      <c r="G1" s="7" t="s">
        <v>42</v>
      </c>
      <c r="H1" s="7" t="s">
        <v>43</v>
      </c>
    </row>
    <row r="2" spans="1:8" x14ac:dyDescent="0.25">
      <c r="A2" s="8">
        <v>101</v>
      </c>
      <c r="B2" s="9" t="s">
        <v>2</v>
      </c>
      <c r="C2" s="5">
        <v>10000</v>
      </c>
      <c r="D2" s="5">
        <f>C2*0.1</f>
        <v>1000</v>
      </c>
      <c r="E2" s="5">
        <f>C2*0.05</f>
        <v>500</v>
      </c>
      <c r="F2" s="5">
        <v>1200</v>
      </c>
      <c r="G2" s="5">
        <f>C2+D2+E2</f>
        <v>11500</v>
      </c>
      <c r="H2" s="5">
        <f>G2-F2</f>
        <v>10300</v>
      </c>
    </row>
    <row r="3" spans="1:8" x14ac:dyDescent="0.25">
      <c r="A3" s="8">
        <v>102</v>
      </c>
      <c r="B3" s="9" t="s">
        <v>3</v>
      </c>
      <c r="C3" s="5">
        <v>20000</v>
      </c>
      <c r="D3" s="5">
        <f t="shared" ref="D3:D16" si="0">C3*0.1</f>
        <v>2000</v>
      </c>
      <c r="E3" s="5">
        <f t="shared" ref="E3:E16" si="1">C3*0.05</f>
        <v>1000</v>
      </c>
      <c r="F3" s="5">
        <v>1000</v>
      </c>
      <c r="G3" s="5">
        <f t="shared" ref="G3:G16" si="2">C3+D3+E3</f>
        <v>23000</v>
      </c>
      <c r="H3" s="5">
        <f t="shared" ref="H3:H16" si="3">G3-F3</f>
        <v>22000</v>
      </c>
    </row>
    <row r="4" spans="1:8" x14ac:dyDescent="0.25">
      <c r="A4" s="8">
        <v>103</v>
      </c>
      <c r="B4" s="9" t="s">
        <v>4</v>
      </c>
      <c r="C4" s="5">
        <v>50000</v>
      </c>
      <c r="D4" s="5">
        <f t="shared" si="0"/>
        <v>5000</v>
      </c>
      <c r="E4" s="5">
        <f t="shared" si="1"/>
        <v>2500</v>
      </c>
      <c r="F4" s="5">
        <v>2000</v>
      </c>
      <c r="G4" s="5">
        <f t="shared" si="2"/>
        <v>57500</v>
      </c>
      <c r="H4" s="5">
        <f t="shared" si="3"/>
        <v>55500</v>
      </c>
    </row>
    <row r="5" spans="1:8" x14ac:dyDescent="0.25">
      <c r="A5" s="8">
        <v>104</v>
      </c>
      <c r="B5" s="9" t="s">
        <v>5</v>
      </c>
      <c r="C5" s="5">
        <v>40000</v>
      </c>
      <c r="D5" s="5">
        <f t="shared" si="0"/>
        <v>4000</v>
      </c>
      <c r="E5" s="5">
        <f t="shared" si="1"/>
        <v>2000</v>
      </c>
      <c r="F5" s="5">
        <v>1234</v>
      </c>
      <c r="G5" s="5">
        <f t="shared" si="2"/>
        <v>46000</v>
      </c>
      <c r="H5" s="5">
        <f t="shared" si="3"/>
        <v>44766</v>
      </c>
    </row>
    <row r="6" spans="1:8" x14ac:dyDescent="0.25">
      <c r="A6" s="8">
        <v>105</v>
      </c>
      <c r="B6" s="9" t="s">
        <v>6</v>
      </c>
      <c r="C6" s="5">
        <v>20000</v>
      </c>
      <c r="D6" s="5">
        <f t="shared" si="0"/>
        <v>2000</v>
      </c>
      <c r="E6" s="5">
        <f t="shared" si="1"/>
        <v>1000</v>
      </c>
      <c r="F6" s="5">
        <v>2564</v>
      </c>
      <c r="G6" s="5">
        <f t="shared" si="2"/>
        <v>23000</v>
      </c>
      <c r="H6" s="5">
        <f t="shared" si="3"/>
        <v>20436</v>
      </c>
    </row>
    <row r="7" spans="1:8" x14ac:dyDescent="0.25">
      <c r="A7" s="8">
        <v>106</v>
      </c>
      <c r="B7" s="9" t="s">
        <v>7</v>
      </c>
      <c r="C7" s="5">
        <v>30000</v>
      </c>
      <c r="D7" s="5">
        <f t="shared" si="0"/>
        <v>3000</v>
      </c>
      <c r="E7" s="5">
        <f t="shared" si="1"/>
        <v>1500</v>
      </c>
      <c r="F7" s="5">
        <v>1200</v>
      </c>
      <c r="G7" s="5">
        <f t="shared" si="2"/>
        <v>34500</v>
      </c>
      <c r="H7" s="5">
        <f t="shared" si="3"/>
        <v>33300</v>
      </c>
    </row>
    <row r="8" spans="1:8" x14ac:dyDescent="0.25">
      <c r="A8" s="8">
        <v>107</v>
      </c>
      <c r="B8" s="9" t="s">
        <v>8</v>
      </c>
      <c r="C8" s="5">
        <v>15000</v>
      </c>
      <c r="D8" s="5">
        <f t="shared" si="0"/>
        <v>1500</v>
      </c>
      <c r="E8" s="5">
        <f t="shared" si="1"/>
        <v>750</v>
      </c>
      <c r="F8" s="5">
        <v>4230</v>
      </c>
      <c r="G8" s="5">
        <f t="shared" si="2"/>
        <v>17250</v>
      </c>
      <c r="H8" s="5">
        <f t="shared" si="3"/>
        <v>13020</v>
      </c>
    </row>
    <row r="9" spans="1:8" x14ac:dyDescent="0.25">
      <c r="A9" s="8">
        <v>108</v>
      </c>
      <c r="B9" s="9" t="s">
        <v>9</v>
      </c>
      <c r="C9" s="5">
        <v>50000</v>
      </c>
      <c r="D9" s="5">
        <f t="shared" si="0"/>
        <v>5000</v>
      </c>
      <c r="E9" s="5">
        <f t="shared" si="1"/>
        <v>2500</v>
      </c>
      <c r="F9" s="5">
        <v>5000</v>
      </c>
      <c r="G9" s="5">
        <f t="shared" si="2"/>
        <v>57500</v>
      </c>
      <c r="H9" s="5">
        <f t="shared" si="3"/>
        <v>52500</v>
      </c>
    </row>
    <row r="10" spans="1:8" x14ac:dyDescent="0.25">
      <c r="A10" s="8">
        <v>109</v>
      </c>
      <c r="B10" s="9" t="s">
        <v>10</v>
      </c>
      <c r="C10" s="5">
        <v>20000</v>
      </c>
      <c r="D10" s="5">
        <f t="shared" si="0"/>
        <v>2000</v>
      </c>
      <c r="E10" s="5">
        <f t="shared" si="1"/>
        <v>1000</v>
      </c>
      <c r="F10" s="5">
        <v>1234</v>
      </c>
      <c r="G10" s="5">
        <f t="shared" si="2"/>
        <v>23000</v>
      </c>
      <c r="H10" s="5">
        <f t="shared" si="3"/>
        <v>21766</v>
      </c>
    </row>
    <row r="11" spans="1:8" x14ac:dyDescent="0.25">
      <c r="A11" s="8">
        <v>110</v>
      </c>
      <c r="B11" s="9" t="s">
        <v>11</v>
      </c>
      <c r="C11" s="5">
        <v>30000</v>
      </c>
      <c r="D11" s="5">
        <f t="shared" si="0"/>
        <v>3000</v>
      </c>
      <c r="E11" s="5">
        <f t="shared" si="1"/>
        <v>1500</v>
      </c>
      <c r="F11" s="5">
        <v>1578</v>
      </c>
      <c r="G11" s="5">
        <f t="shared" si="2"/>
        <v>34500</v>
      </c>
      <c r="H11" s="5">
        <f t="shared" si="3"/>
        <v>32922</v>
      </c>
    </row>
    <row r="12" spans="1:8" x14ac:dyDescent="0.25">
      <c r="A12" s="8">
        <v>111</v>
      </c>
      <c r="B12" s="9" t="s">
        <v>12</v>
      </c>
      <c r="C12" s="5">
        <v>10000</v>
      </c>
      <c r="D12" s="5">
        <f t="shared" si="0"/>
        <v>1000</v>
      </c>
      <c r="E12" s="5">
        <f t="shared" si="1"/>
        <v>500</v>
      </c>
      <c r="F12" s="5">
        <v>1000</v>
      </c>
      <c r="G12" s="5">
        <f t="shared" si="2"/>
        <v>11500</v>
      </c>
      <c r="H12" s="5">
        <f t="shared" si="3"/>
        <v>10500</v>
      </c>
    </row>
    <row r="13" spans="1:8" x14ac:dyDescent="0.25">
      <c r="A13" s="8">
        <v>112</v>
      </c>
      <c r="B13" s="9" t="s">
        <v>13</v>
      </c>
      <c r="C13" s="5">
        <v>40000</v>
      </c>
      <c r="D13" s="5">
        <f t="shared" si="0"/>
        <v>4000</v>
      </c>
      <c r="E13" s="5">
        <f t="shared" si="1"/>
        <v>2000</v>
      </c>
      <c r="F13" s="5">
        <v>2000</v>
      </c>
      <c r="G13" s="5">
        <f t="shared" si="2"/>
        <v>46000</v>
      </c>
      <c r="H13" s="5">
        <f t="shared" si="3"/>
        <v>44000</v>
      </c>
    </row>
    <row r="14" spans="1:8" x14ac:dyDescent="0.25">
      <c r="A14" s="8">
        <v>113</v>
      </c>
      <c r="B14" s="9" t="s">
        <v>14</v>
      </c>
      <c r="C14" s="5">
        <v>20000</v>
      </c>
      <c r="D14" s="5">
        <f t="shared" si="0"/>
        <v>2000</v>
      </c>
      <c r="E14" s="5">
        <f t="shared" si="1"/>
        <v>1000</v>
      </c>
      <c r="F14" s="5">
        <v>3000</v>
      </c>
      <c r="G14" s="5">
        <f t="shared" si="2"/>
        <v>23000</v>
      </c>
      <c r="H14" s="5">
        <f t="shared" si="3"/>
        <v>20000</v>
      </c>
    </row>
    <row r="15" spans="1:8" x14ac:dyDescent="0.25">
      <c r="A15" s="8">
        <v>114</v>
      </c>
      <c r="B15" s="9" t="s">
        <v>15</v>
      </c>
      <c r="C15" s="5">
        <v>22000</v>
      </c>
      <c r="D15" s="5">
        <f t="shared" si="0"/>
        <v>2200</v>
      </c>
      <c r="E15" s="5">
        <f t="shared" si="1"/>
        <v>1100</v>
      </c>
      <c r="F15" s="5">
        <v>4000</v>
      </c>
      <c r="G15" s="5">
        <f t="shared" si="2"/>
        <v>25300</v>
      </c>
      <c r="H15" s="5">
        <f t="shared" si="3"/>
        <v>21300</v>
      </c>
    </row>
    <row r="16" spans="1:8" x14ac:dyDescent="0.25">
      <c r="A16" s="8">
        <v>115</v>
      </c>
      <c r="B16" s="9" t="s">
        <v>16</v>
      </c>
      <c r="C16" s="5">
        <v>31000</v>
      </c>
      <c r="D16" s="5">
        <f t="shared" si="0"/>
        <v>3100</v>
      </c>
      <c r="E16" s="5">
        <f t="shared" si="1"/>
        <v>1550</v>
      </c>
      <c r="F16" s="5">
        <v>2134</v>
      </c>
      <c r="G16" s="5">
        <f t="shared" si="2"/>
        <v>35650</v>
      </c>
      <c r="H16" s="5">
        <f t="shared" si="3"/>
        <v>33516</v>
      </c>
    </row>
  </sheetData>
  <conditionalFormatting sqref="G2:G16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{53A55BC6-1855-408E-8DF0-1B9D795B96C6}</x14:id>
        </ext>
      </extLst>
    </cfRule>
  </conditionalFormatting>
  <conditionalFormatting sqref="G7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{38E8D89B-2826-438E-992A-815682390AD4}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3A55BC6-1855-408E-8DF0-1B9D795B96C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G2:G16</xm:sqref>
        </x14:conditionalFormatting>
        <x14:conditionalFormatting xmlns:xm="http://schemas.microsoft.com/office/excel/2006/main">
          <x14:cfRule type="dataBar" id="{38E8D89B-2826-438E-992A-815682390AD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6"/>
  <sheetViews>
    <sheetView zoomScale="130" zoomScaleNormal="130" workbookViewId="0">
      <selection activeCell="C20" sqref="C20"/>
    </sheetView>
  </sheetViews>
  <sheetFormatPr defaultRowHeight="15" x14ac:dyDescent="0.25"/>
  <cols>
    <col min="1" max="1" width="11.28515625" customWidth="1"/>
    <col min="2" max="2" width="17.5703125" customWidth="1"/>
    <col min="3" max="3" width="12.28515625" customWidth="1"/>
    <col min="6" max="6" width="13.140625" customWidth="1"/>
    <col min="7" max="7" width="12.140625" bestFit="1" customWidth="1"/>
  </cols>
  <sheetData>
    <row r="1" spans="1:7" x14ac:dyDescent="0.25">
      <c r="A1" s="10" t="s">
        <v>44</v>
      </c>
      <c r="B1" s="10" t="s">
        <v>46</v>
      </c>
      <c r="C1" s="10" t="s">
        <v>45</v>
      </c>
      <c r="F1" s="12" t="s">
        <v>56</v>
      </c>
      <c r="G1" t="s">
        <v>55</v>
      </c>
    </row>
    <row r="2" spans="1:7" x14ac:dyDescent="0.25">
      <c r="A2" s="3">
        <v>10000</v>
      </c>
      <c r="B2" s="4" t="s">
        <v>47</v>
      </c>
      <c r="C2" s="4" t="s">
        <v>51</v>
      </c>
      <c r="F2" s="13" t="s">
        <v>53</v>
      </c>
      <c r="G2" s="11">
        <v>120000</v>
      </c>
    </row>
    <row r="3" spans="1:7" x14ac:dyDescent="0.25">
      <c r="A3" s="3">
        <v>20000</v>
      </c>
      <c r="B3" s="4" t="s">
        <v>48</v>
      </c>
      <c r="C3" s="4" t="s">
        <v>52</v>
      </c>
      <c r="F3" s="13" t="s">
        <v>51</v>
      </c>
      <c r="G3" s="11">
        <v>115000</v>
      </c>
    </row>
    <row r="4" spans="1:7" x14ac:dyDescent="0.25">
      <c r="A4" s="3">
        <v>50000</v>
      </c>
      <c r="B4" s="4" t="s">
        <v>49</v>
      </c>
      <c r="C4" s="4" t="s">
        <v>53</v>
      </c>
      <c r="F4" s="13" t="s">
        <v>54</v>
      </c>
      <c r="G4" s="11">
        <v>113000</v>
      </c>
    </row>
    <row r="5" spans="1:7" x14ac:dyDescent="0.25">
      <c r="A5" s="3">
        <v>40000</v>
      </c>
      <c r="B5" s="4" t="s">
        <v>50</v>
      </c>
      <c r="C5" s="4" t="s">
        <v>51</v>
      </c>
      <c r="F5" s="13" t="s">
        <v>52</v>
      </c>
      <c r="G5" s="11">
        <v>60000</v>
      </c>
    </row>
    <row r="6" spans="1:7" x14ac:dyDescent="0.25">
      <c r="A6" s="3">
        <v>20000</v>
      </c>
      <c r="B6" s="4" t="s">
        <v>50</v>
      </c>
      <c r="C6" s="4" t="s">
        <v>53</v>
      </c>
      <c r="F6" s="13" t="s">
        <v>57</v>
      </c>
      <c r="G6" s="11">
        <v>408000</v>
      </c>
    </row>
    <row r="7" spans="1:7" x14ac:dyDescent="0.25">
      <c r="A7" s="3">
        <v>30000</v>
      </c>
      <c r="B7" s="4" t="s">
        <v>47</v>
      </c>
      <c r="C7" s="4" t="s">
        <v>52</v>
      </c>
    </row>
    <row r="8" spans="1:7" x14ac:dyDescent="0.25">
      <c r="A8" s="3">
        <v>15000</v>
      </c>
      <c r="B8" s="4" t="s">
        <v>49</v>
      </c>
      <c r="C8" s="4" t="s">
        <v>51</v>
      </c>
    </row>
    <row r="9" spans="1:7" x14ac:dyDescent="0.25">
      <c r="A9" s="3">
        <v>50000</v>
      </c>
      <c r="B9" s="4" t="s">
        <v>50</v>
      </c>
      <c r="C9" s="4" t="s">
        <v>51</v>
      </c>
    </row>
    <row r="10" spans="1:7" x14ac:dyDescent="0.25">
      <c r="A10" s="3">
        <v>20000</v>
      </c>
      <c r="B10" s="4" t="s">
        <v>48</v>
      </c>
      <c r="C10" s="4" t="s">
        <v>53</v>
      </c>
    </row>
    <row r="11" spans="1:7" x14ac:dyDescent="0.25">
      <c r="A11" s="3">
        <v>30000</v>
      </c>
      <c r="B11" s="4" t="s">
        <v>48</v>
      </c>
      <c r="C11" s="4" t="s">
        <v>53</v>
      </c>
    </row>
    <row r="12" spans="1:7" x14ac:dyDescent="0.25">
      <c r="A12" s="3">
        <v>10000</v>
      </c>
      <c r="B12" s="4" t="s">
        <v>47</v>
      </c>
      <c r="C12" s="4" t="s">
        <v>52</v>
      </c>
    </row>
    <row r="13" spans="1:7" x14ac:dyDescent="0.25">
      <c r="A13" s="3">
        <v>40000</v>
      </c>
      <c r="B13" s="4" t="s">
        <v>49</v>
      </c>
      <c r="C13" s="4" t="s">
        <v>54</v>
      </c>
    </row>
    <row r="14" spans="1:7" x14ac:dyDescent="0.25">
      <c r="A14" s="3">
        <v>20000</v>
      </c>
      <c r="B14" s="4" t="s">
        <v>50</v>
      </c>
      <c r="C14" s="4" t="s">
        <v>54</v>
      </c>
    </row>
    <row r="15" spans="1:7" x14ac:dyDescent="0.25">
      <c r="A15" s="3">
        <v>22000</v>
      </c>
      <c r="B15" s="4" t="s">
        <v>50</v>
      </c>
      <c r="C15" s="4" t="s">
        <v>54</v>
      </c>
    </row>
    <row r="16" spans="1:7" x14ac:dyDescent="0.25">
      <c r="A16" s="3">
        <v>31000</v>
      </c>
      <c r="B16" s="4" t="s">
        <v>47</v>
      </c>
      <c r="C16" s="4" t="s">
        <v>54</v>
      </c>
    </row>
  </sheetData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6"/>
  <sheetViews>
    <sheetView zoomScale="130" zoomScaleNormal="130" workbookViewId="0">
      <selection activeCell="C16" sqref="A1:C16"/>
    </sheetView>
  </sheetViews>
  <sheetFormatPr defaultRowHeight="15" x14ac:dyDescent="0.25"/>
  <cols>
    <col min="5" max="5" width="16.7109375" customWidth="1"/>
    <col min="6" max="6" width="12.140625" customWidth="1"/>
  </cols>
  <sheetData>
    <row r="1" spans="1:6" x14ac:dyDescent="0.25">
      <c r="A1" s="10" t="s">
        <v>44</v>
      </c>
      <c r="B1" s="10" t="s">
        <v>46</v>
      </c>
      <c r="C1" s="10" t="s">
        <v>45</v>
      </c>
      <c r="E1" s="12" t="s">
        <v>56</v>
      </c>
      <c r="F1" t="s">
        <v>55</v>
      </c>
    </row>
    <row r="2" spans="1:6" x14ac:dyDescent="0.25">
      <c r="A2" s="3">
        <v>10000</v>
      </c>
      <c r="B2" s="15" t="s">
        <v>47</v>
      </c>
      <c r="C2" s="15" t="s">
        <v>51</v>
      </c>
      <c r="E2" s="13" t="s">
        <v>47</v>
      </c>
      <c r="F2" s="11">
        <v>50000</v>
      </c>
    </row>
    <row r="3" spans="1:6" x14ac:dyDescent="0.25">
      <c r="A3" s="3">
        <v>20000</v>
      </c>
      <c r="B3" s="15" t="s">
        <v>48</v>
      </c>
      <c r="C3" s="15" t="s">
        <v>52</v>
      </c>
      <c r="E3" s="13" t="s">
        <v>50</v>
      </c>
      <c r="F3" s="11">
        <v>152000</v>
      </c>
    </row>
    <row r="4" spans="1:6" x14ac:dyDescent="0.25">
      <c r="A4" s="3">
        <v>50000</v>
      </c>
      <c r="B4" s="15" t="s">
        <v>49</v>
      </c>
      <c r="C4" s="15" t="s">
        <v>53</v>
      </c>
      <c r="E4" s="13" t="s">
        <v>48</v>
      </c>
      <c r="F4" s="11">
        <v>70000</v>
      </c>
    </row>
    <row r="5" spans="1:6" x14ac:dyDescent="0.25">
      <c r="A5" s="3">
        <v>40000</v>
      </c>
      <c r="B5" s="15" t="s">
        <v>50</v>
      </c>
      <c r="C5" s="15" t="s">
        <v>51</v>
      </c>
      <c r="E5" s="13" t="s">
        <v>49</v>
      </c>
      <c r="F5" s="11">
        <v>105000</v>
      </c>
    </row>
    <row r="6" spans="1:6" x14ac:dyDescent="0.25">
      <c r="A6" s="3">
        <v>20000</v>
      </c>
      <c r="B6" s="15" t="s">
        <v>50</v>
      </c>
      <c r="C6" s="15" t="s">
        <v>53</v>
      </c>
      <c r="E6" s="13" t="s">
        <v>57</v>
      </c>
      <c r="F6" s="11">
        <v>377000</v>
      </c>
    </row>
    <row r="7" spans="1:6" x14ac:dyDescent="0.25">
      <c r="A7" s="3">
        <v>30000</v>
      </c>
      <c r="B7" s="15" t="s">
        <v>47</v>
      </c>
      <c r="C7" s="15" t="s">
        <v>52</v>
      </c>
    </row>
    <row r="8" spans="1:6" x14ac:dyDescent="0.25">
      <c r="A8" s="3">
        <v>15000</v>
      </c>
      <c r="B8" s="15" t="s">
        <v>49</v>
      </c>
      <c r="C8" s="15" t="s">
        <v>51</v>
      </c>
    </row>
    <row r="9" spans="1:6" x14ac:dyDescent="0.25">
      <c r="A9" s="3">
        <v>50000</v>
      </c>
      <c r="B9" s="15" t="s">
        <v>50</v>
      </c>
      <c r="C9" s="15" t="s">
        <v>51</v>
      </c>
    </row>
    <row r="10" spans="1:6" x14ac:dyDescent="0.25">
      <c r="A10" s="3">
        <v>20000</v>
      </c>
      <c r="B10" s="15" t="s">
        <v>48</v>
      </c>
      <c r="C10" s="15" t="s">
        <v>53</v>
      </c>
    </row>
    <row r="11" spans="1:6" x14ac:dyDescent="0.25">
      <c r="A11" s="3">
        <v>30000</v>
      </c>
      <c r="B11" s="15" t="s">
        <v>48</v>
      </c>
      <c r="C11" s="15" t="s">
        <v>53</v>
      </c>
    </row>
    <row r="12" spans="1:6" x14ac:dyDescent="0.25">
      <c r="A12" s="3">
        <v>10000</v>
      </c>
      <c r="B12" s="15" t="s">
        <v>47</v>
      </c>
      <c r="C12" s="15" t="s">
        <v>52</v>
      </c>
    </row>
    <row r="13" spans="1:6" x14ac:dyDescent="0.25">
      <c r="A13" s="3">
        <v>40000</v>
      </c>
      <c r="B13" s="15" t="s">
        <v>49</v>
      </c>
      <c r="C13" s="15" t="s">
        <v>54</v>
      </c>
    </row>
    <row r="14" spans="1:6" x14ac:dyDescent="0.25">
      <c r="A14" s="3">
        <v>20000</v>
      </c>
      <c r="B14" s="15" t="s">
        <v>50</v>
      </c>
      <c r="C14" s="15" t="s">
        <v>54</v>
      </c>
    </row>
    <row r="15" spans="1:6" x14ac:dyDescent="0.25">
      <c r="A15" s="3">
        <v>22000</v>
      </c>
      <c r="B15" s="15" t="s">
        <v>50</v>
      </c>
      <c r="C15" s="15" t="s">
        <v>54</v>
      </c>
    </row>
    <row r="16" spans="1:6" x14ac:dyDescent="0.25">
      <c r="A16" s="3">
        <v>31000</v>
      </c>
      <c r="B16" s="15" t="s">
        <v>47</v>
      </c>
      <c r="C16" s="15" t="s">
        <v>54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7"/>
  <sheetViews>
    <sheetView tabSelected="1" workbookViewId="0">
      <selection activeCell="E1" sqref="E1"/>
    </sheetView>
  </sheetViews>
  <sheetFormatPr defaultRowHeight="15" x14ac:dyDescent="0.25"/>
  <cols>
    <col min="5" max="5" width="20.5703125" bestFit="1" customWidth="1"/>
    <col min="6" max="6" width="12.140625" bestFit="1" customWidth="1"/>
  </cols>
  <sheetData>
    <row r="1" spans="1:6" x14ac:dyDescent="0.25">
      <c r="A1" s="10" t="s">
        <v>44</v>
      </c>
      <c r="B1" s="10" t="s">
        <v>46</v>
      </c>
      <c r="C1" s="10" t="s">
        <v>45</v>
      </c>
      <c r="E1" s="12" t="s">
        <v>56</v>
      </c>
      <c r="F1" t="s">
        <v>55</v>
      </c>
    </row>
    <row r="2" spans="1:6" x14ac:dyDescent="0.25">
      <c r="A2" s="3">
        <v>10000</v>
      </c>
      <c r="B2" s="16" t="s">
        <v>47</v>
      </c>
      <c r="C2" s="16" t="s">
        <v>51</v>
      </c>
      <c r="E2" s="13" t="s">
        <v>53</v>
      </c>
      <c r="F2" s="11">
        <v>120000</v>
      </c>
    </row>
    <row r="3" spans="1:6" x14ac:dyDescent="0.25">
      <c r="A3" s="3">
        <v>20000</v>
      </c>
      <c r="B3" s="16" t="s">
        <v>48</v>
      </c>
      <c r="C3" s="16" t="s">
        <v>52</v>
      </c>
      <c r="E3" s="14" t="s">
        <v>50</v>
      </c>
      <c r="F3" s="11">
        <v>20000</v>
      </c>
    </row>
    <row r="4" spans="1:6" x14ac:dyDescent="0.25">
      <c r="A4" s="3">
        <v>50000</v>
      </c>
      <c r="B4" s="16" t="s">
        <v>49</v>
      </c>
      <c r="C4" s="16" t="s">
        <v>53</v>
      </c>
      <c r="E4" s="14" t="s">
        <v>48</v>
      </c>
      <c r="F4" s="11">
        <v>50000</v>
      </c>
    </row>
    <row r="5" spans="1:6" x14ac:dyDescent="0.25">
      <c r="A5" s="3">
        <v>40000</v>
      </c>
      <c r="B5" s="16" t="s">
        <v>50</v>
      </c>
      <c r="C5" s="16" t="s">
        <v>51</v>
      </c>
      <c r="E5" s="14" t="s">
        <v>49</v>
      </c>
      <c r="F5" s="11">
        <v>50000</v>
      </c>
    </row>
    <row r="6" spans="1:6" x14ac:dyDescent="0.25">
      <c r="A6" s="3">
        <v>20000</v>
      </c>
      <c r="B6" s="16" t="s">
        <v>50</v>
      </c>
      <c r="C6" s="16" t="s">
        <v>53</v>
      </c>
      <c r="E6" s="13" t="s">
        <v>51</v>
      </c>
      <c r="F6" s="11">
        <v>115000</v>
      </c>
    </row>
    <row r="7" spans="1:6" x14ac:dyDescent="0.25">
      <c r="A7" s="3">
        <v>30000</v>
      </c>
      <c r="B7" s="16" t="s">
        <v>47</v>
      </c>
      <c r="C7" s="16" t="s">
        <v>52</v>
      </c>
      <c r="E7" s="14" t="s">
        <v>47</v>
      </c>
      <c r="F7" s="11">
        <v>10000</v>
      </c>
    </row>
    <row r="8" spans="1:6" x14ac:dyDescent="0.25">
      <c r="A8" s="3">
        <v>15000</v>
      </c>
      <c r="B8" s="16" t="s">
        <v>49</v>
      </c>
      <c r="C8" s="16" t="s">
        <v>51</v>
      </c>
      <c r="E8" s="14" t="s">
        <v>50</v>
      </c>
      <c r="F8" s="11">
        <v>90000</v>
      </c>
    </row>
    <row r="9" spans="1:6" x14ac:dyDescent="0.25">
      <c r="A9" s="3">
        <v>50000</v>
      </c>
      <c r="B9" s="16" t="s">
        <v>50</v>
      </c>
      <c r="C9" s="16" t="s">
        <v>51</v>
      </c>
      <c r="E9" s="14" t="s">
        <v>49</v>
      </c>
      <c r="F9" s="11">
        <v>15000</v>
      </c>
    </row>
    <row r="10" spans="1:6" x14ac:dyDescent="0.25">
      <c r="A10" s="3">
        <v>20000</v>
      </c>
      <c r="B10" s="16" t="s">
        <v>48</v>
      </c>
      <c r="C10" s="16" t="s">
        <v>53</v>
      </c>
      <c r="E10" s="13" t="s">
        <v>54</v>
      </c>
      <c r="F10" s="11">
        <v>113000</v>
      </c>
    </row>
    <row r="11" spans="1:6" x14ac:dyDescent="0.25">
      <c r="A11" s="3">
        <v>30000</v>
      </c>
      <c r="B11" s="16" t="s">
        <v>48</v>
      </c>
      <c r="C11" s="16" t="s">
        <v>53</v>
      </c>
      <c r="E11" s="14" t="s">
        <v>47</v>
      </c>
      <c r="F11" s="11">
        <v>31000</v>
      </c>
    </row>
    <row r="12" spans="1:6" x14ac:dyDescent="0.25">
      <c r="A12" s="3">
        <v>10000</v>
      </c>
      <c r="B12" s="16" t="s">
        <v>47</v>
      </c>
      <c r="C12" s="16" t="s">
        <v>52</v>
      </c>
      <c r="E12" s="14" t="s">
        <v>50</v>
      </c>
      <c r="F12" s="11">
        <v>42000</v>
      </c>
    </row>
    <row r="13" spans="1:6" x14ac:dyDescent="0.25">
      <c r="A13" s="3">
        <v>40000</v>
      </c>
      <c r="B13" s="16" t="s">
        <v>49</v>
      </c>
      <c r="C13" s="16" t="s">
        <v>54</v>
      </c>
      <c r="E13" s="14" t="s">
        <v>49</v>
      </c>
      <c r="F13" s="11">
        <v>40000</v>
      </c>
    </row>
    <row r="14" spans="1:6" x14ac:dyDescent="0.25">
      <c r="A14" s="3">
        <v>20000</v>
      </c>
      <c r="B14" s="16" t="s">
        <v>50</v>
      </c>
      <c r="C14" s="16" t="s">
        <v>54</v>
      </c>
      <c r="E14" s="13" t="s">
        <v>52</v>
      </c>
      <c r="F14" s="11">
        <v>60000</v>
      </c>
    </row>
    <row r="15" spans="1:6" x14ac:dyDescent="0.25">
      <c r="A15" s="3">
        <v>22000</v>
      </c>
      <c r="B15" s="16" t="s">
        <v>50</v>
      </c>
      <c r="C15" s="16" t="s">
        <v>54</v>
      </c>
      <c r="E15" s="14" t="s">
        <v>47</v>
      </c>
      <c r="F15" s="11">
        <v>40000</v>
      </c>
    </row>
    <row r="16" spans="1:6" x14ac:dyDescent="0.25">
      <c r="A16" s="3">
        <v>31000</v>
      </c>
      <c r="B16" s="16" t="s">
        <v>47</v>
      </c>
      <c r="C16" s="16" t="s">
        <v>54</v>
      </c>
      <c r="E16" s="14" t="s">
        <v>48</v>
      </c>
      <c r="F16" s="11">
        <v>20000</v>
      </c>
    </row>
    <row r="17" spans="5:6" x14ac:dyDescent="0.25">
      <c r="E17" s="13" t="s">
        <v>57</v>
      </c>
      <c r="F17" s="11">
        <v>408000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Employee Table</vt:lpstr>
      <vt:lpstr>Macro</vt:lpstr>
      <vt:lpstr>Pivat Chart1</vt:lpstr>
      <vt:lpstr>Pivat Chart2</vt:lpstr>
      <vt:lpstr>Pivat Chart3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student</cp:lastModifiedBy>
  <dcterms:created xsi:type="dcterms:W3CDTF">2026-02-10T08:50:06Z</dcterms:created>
  <dcterms:modified xsi:type="dcterms:W3CDTF">2026-02-10T09:21:38Z</dcterms:modified>
</cp:coreProperties>
</file>