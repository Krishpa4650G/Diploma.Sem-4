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udent\Desktop\KRISH119\"/>
    </mc:Choice>
  </mc:AlternateContent>
  <bookViews>
    <workbookView xWindow="0" yWindow="0" windowWidth="2049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4" i="1"/>
  <c r="U3" i="1" l="1"/>
  <c r="U4" i="1"/>
  <c r="U5" i="1"/>
  <c r="U6" i="1"/>
  <c r="U7" i="1"/>
  <c r="U8" i="1"/>
  <c r="U9" i="1"/>
  <c r="U10" i="1"/>
  <c r="U11" i="1"/>
  <c r="U2" i="1"/>
  <c r="T3" i="1"/>
  <c r="T4" i="1"/>
  <c r="T5" i="1"/>
  <c r="T6" i="1"/>
  <c r="T7" i="1"/>
  <c r="T8" i="1"/>
  <c r="T9" i="1"/>
  <c r="T10" i="1"/>
  <c r="T11" i="1"/>
  <c r="T2" i="1"/>
  <c r="S3" i="1"/>
  <c r="S4" i="1"/>
  <c r="S5" i="1"/>
  <c r="S6" i="1"/>
  <c r="S7" i="1"/>
  <c r="S8" i="1"/>
  <c r="S9" i="1"/>
  <c r="S10" i="1"/>
  <c r="S11" i="1"/>
  <c r="S2" i="1"/>
  <c r="R2" i="1" l="1"/>
  <c r="R3" i="1"/>
  <c r="R4" i="1"/>
  <c r="R5" i="1"/>
  <c r="R6" i="1"/>
  <c r="R7" i="1"/>
  <c r="R8" i="1"/>
  <c r="R9" i="1"/>
  <c r="R10" i="1"/>
  <c r="R11" i="1"/>
  <c r="O3" i="1"/>
  <c r="O4" i="1"/>
  <c r="O5" i="1"/>
  <c r="O6" i="1"/>
  <c r="O7" i="1"/>
  <c r="O8" i="1"/>
  <c r="O9" i="1"/>
  <c r="O10" i="1"/>
  <c r="O11" i="1"/>
  <c r="O2" i="1"/>
  <c r="Q3" i="1"/>
  <c r="Q4" i="1"/>
  <c r="Q5" i="1"/>
  <c r="Q6" i="1"/>
  <c r="Q7" i="1"/>
  <c r="Q8" i="1"/>
  <c r="Q9" i="1"/>
  <c r="Q10" i="1"/>
  <c r="Q11" i="1"/>
  <c r="Q2" i="1"/>
  <c r="P3" i="1"/>
  <c r="P4" i="1"/>
  <c r="P5" i="1"/>
  <c r="P6" i="1"/>
  <c r="P7" i="1"/>
  <c r="P8" i="1"/>
  <c r="P9" i="1"/>
  <c r="P10" i="1"/>
  <c r="P11" i="1"/>
  <c r="P2" i="1"/>
  <c r="N8" i="1"/>
  <c r="N7" i="1"/>
  <c r="N6" i="1"/>
  <c r="N3" i="1"/>
  <c r="N4" i="1"/>
  <c r="N5" i="1"/>
  <c r="N9" i="1"/>
  <c r="N10" i="1"/>
  <c r="N11" i="1"/>
  <c r="N2" i="1"/>
  <c r="M3" i="1"/>
  <c r="M4" i="1"/>
  <c r="M5" i="1"/>
  <c r="M6" i="1"/>
  <c r="M7" i="1"/>
  <c r="M8" i="1"/>
  <c r="M9" i="1"/>
  <c r="M10" i="1"/>
  <c r="M11" i="1"/>
  <c r="M2" i="1"/>
  <c r="K3" i="1"/>
  <c r="K5" i="1"/>
  <c r="K6" i="1"/>
  <c r="K7" i="1"/>
  <c r="K8" i="1"/>
  <c r="K9" i="1"/>
  <c r="K10" i="1"/>
  <c r="K11" i="1"/>
  <c r="I3" i="1"/>
  <c r="I4" i="1"/>
  <c r="I5" i="1"/>
  <c r="I6" i="1"/>
  <c r="I7" i="1"/>
  <c r="I8" i="1"/>
  <c r="I9" i="1"/>
  <c r="I10" i="1"/>
  <c r="I11" i="1"/>
  <c r="I2" i="1"/>
  <c r="K2" i="1" s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<sst xmlns="http://schemas.openxmlformats.org/spreadsheetml/2006/main" count="41" uniqueCount="36">
  <si>
    <t>En.no</t>
  </si>
  <si>
    <t>Name</t>
  </si>
  <si>
    <t>Age</t>
  </si>
  <si>
    <t>Math</t>
  </si>
  <si>
    <t>Science</t>
  </si>
  <si>
    <t>English</t>
  </si>
  <si>
    <t>History</t>
  </si>
  <si>
    <t>Economics</t>
  </si>
  <si>
    <t>Total</t>
  </si>
  <si>
    <t>Percentage</t>
  </si>
  <si>
    <t>Average</t>
  </si>
  <si>
    <t>Grade</t>
  </si>
  <si>
    <t>A</t>
  </si>
  <si>
    <t>B</t>
  </si>
  <si>
    <t>C</t>
  </si>
  <si>
    <t>A+</t>
  </si>
  <si>
    <t>B+</t>
  </si>
  <si>
    <t>Min</t>
  </si>
  <si>
    <t>Max</t>
  </si>
  <si>
    <t>Count</t>
  </si>
  <si>
    <t>Upper</t>
  </si>
  <si>
    <t>Lower</t>
  </si>
  <si>
    <t>CountIf</t>
  </si>
  <si>
    <t>Concate</t>
  </si>
  <si>
    <t>Trim</t>
  </si>
  <si>
    <t>Proper</t>
  </si>
  <si>
    <t>Charlie Gohil</t>
  </si>
  <si>
    <t>Olivia Jain</t>
  </si>
  <si>
    <t>Eve Sharma</t>
  </si>
  <si>
    <t>Kate Patel</t>
  </si>
  <si>
    <t>Bob Vaisali</t>
  </si>
  <si>
    <t>Jack Bhai</t>
  </si>
  <si>
    <t xml:space="preserve"> Thala Dhoni</t>
  </si>
  <si>
    <t>Hannah Singh</t>
  </si>
  <si>
    <t>Charlie Singh</t>
  </si>
  <si>
    <t>Liam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</si>
</sst>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4" borderId="0" xfId="0" applyFill="1" applyAlignment="1">
      <alignment horizontal="center"/>
    </xf>
    <xf numFmtId="0" fontId="0" fillId="4" borderId="0" xfId="0" applyFill="1"/>
    <xf numFmtId="10" fontId="0" fillId="4" borderId="0" xfId="0" applyNumberFormat="1" applyFill="1"/>
    <xf numFmtId="0" fontId="0" fillId="3" borderId="0" xfId="0" applyFill="1"/>
    <xf numFmtId="0" fontId="0" fillId="6" borderId="0" xfId="0" applyFill="1"/>
    <xf numFmtId="0" fontId="0" fillId="7" borderId="0" xfId="0" applyFill="1"/>
    <xf numFmtId="0" fontId="0" fillId="7" borderId="0" xfId="0" applyFont="1" applyFill="1"/>
    <xf numFmtId="0" fontId="0" fillId="7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"/>
  <sheetViews>
    <sheetView tabSelected="1" view="pageLayout" zoomScaleNormal="70" workbookViewId="0">
      <selection activeCell="J12" sqref="J12"/>
    </sheetView>
  </sheetViews>
  <sheetFormatPr defaultRowHeight="15" x14ac:dyDescent="0.25"/>
  <cols>
    <col min="2" max="2" width="20" customWidth="1"/>
    <col min="10" max="10" width="17.85546875" customWidth="1"/>
    <col min="11" max="11" width="18.5703125" customWidth="1"/>
    <col min="12" max="12" width="17.85546875" customWidth="1"/>
    <col min="13" max="13" width="10.7109375" customWidth="1"/>
    <col min="14" max="14" width="11.5703125" customWidth="1"/>
    <col min="15" max="15" width="11.85546875" customWidth="1"/>
    <col min="16" max="16" width="21.28515625" customWidth="1"/>
    <col min="17" max="17" width="16" customWidth="1"/>
    <col min="19" max="19" width="24" customWidth="1"/>
    <col min="20" max="20" width="20" customWidth="1"/>
    <col min="21" max="21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10</v>
      </c>
      <c r="K1" s="1" t="s">
        <v>9</v>
      </c>
      <c r="L1" s="1" t="s">
        <v>11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2" t="s">
        <v>22</v>
      </c>
      <c r="S1" s="1" t="s">
        <v>23</v>
      </c>
      <c r="T1" s="1" t="s">
        <v>24</v>
      </c>
      <c r="U1" s="1" t="s">
        <v>25</v>
      </c>
    </row>
    <row r="2" spans="1:21" x14ac:dyDescent="0.25">
      <c r="A2" s="11">
        <v>1</v>
      </c>
      <c r="B2" s="11" t="s">
        <v>26</v>
      </c>
      <c r="C2" s="12">
        <v>22</v>
      </c>
      <c r="D2" s="10">
        <v>75</v>
      </c>
      <c r="E2" s="10">
        <v>76</v>
      </c>
      <c r="F2" s="10">
        <v>78</v>
      </c>
      <c r="G2" s="10">
        <v>76</v>
      </c>
      <c r="H2" s="10">
        <v>78</v>
      </c>
      <c r="I2" s="3">
        <f>SUM(D2:H2)</f>
        <v>383</v>
      </c>
      <c r="J2" s="4">
        <f>AVERAGE(D2:H2)</f>
        <v>76.599999999999994</v>
      </c>
      <c r="K2" s="5">
        <f>I2/500</f>
        <v>0.76600000000000001</v>
      </c>
      <c r="L2" s="6" t="s">
        <v>12</v>
      </c>
      <c r="M2" s="6">
        <f>MIN(D2:H2)</f>
        <v>75</v>
      </c>
      <c r="N2" s="6">
        <f>MAX(D2:H2)</f>
        <v>78</v>
      </c>
      <c r="O2" s="8">
        <f>COUNT(A2:A11)</f>
        <v>10</v>
      </c>
      <c r="P2" s="8" t="str">
        <f>UPPER(B2)</f>
        <v>CHARLIE GOHIL</v>
      </c>
      <c r="Q2" s="8" t="str">
        <f>LOWER(B2)</f>
        <v>charlie gohil</v>
      </c>
      <c r="R2" s="9">
        <f t="shared" ref="R2:R11" si="0">COUNTIF(D3:H3,"&gt;70")</f>
        <v>2</v>
      </c>
      <c r="S2" s="7" t="str">
        <f>CONCATENATE(B2,C2)</f>
        <v>Charlie Gohil22</v>
      </c>
      <c r="T2" s="7" t="str">
        <f>TRIM(B2)</f>
        <v>Charlie Gohil</v>
      </c>
      <c r="U2" s="7" t="str">
        <f>PROPER(B2)</f>
        <v>Charlie Gohil</v>
      </c>
    </row>
    <row r="3" spans="1:21" x14ac:dyDescent="0.25">
      <c r="A3" s="11">
        <v>2</v>
      </c>
      <c r="B3" s="11" t="s">
        <v>27</v>
      </c>
      <c r="C3" s="12">
        <v>20</v>
      </c>
      <c r="D3" s="10">
        <v>48</v>
      </c>
      <c r="E3" s="10">
        <v>86</v>
      </c>
      <c r="F3" s="10">
        <v>42</v>
      </c>
      <c r="G3" s="10">
        <v>57</v>
      </c>
      <c r="H3" s="10">
        <v>78</v>
      </c>
      <c r="I3" s="3">
        <f t="shared" ref="I3:I11" si="1">SUM(D3:H3)</f>
        <v>311</v>
      </c>
      <c r="J3" s="4">
        <f t="shared" ref="J3:J11" si="2">AVERAGE(D3:H3)</f>
        <v>62.2</v>
      </c>
      <c r="K3" s="5">
        <f t="shared" ref="K3:K11" si="3">I3/500</f>
        <v>0.622</v>
      </c>
      <c r="L3" s="6" t="s">
        <v>14</v>
      </c>
      <c r="M3" s="6">
        <f t="shared" ref="M3:M11" si="4">MIN(D3:H3)</f>
        <v>42</v>
      </c>
      <c r="N3" s="6">
        <f t="shared" ref="N3:N11" si="5">MAX(D3:H3)</f>
        <v>86</v>
      </c>
      <c r="O3" s="8">
        <f t="shared" ref="O3:O11" si="6">COUNT(A3:A12)</f>
        <v>9</v>
      </c>
      <c r="P3" s="8" t="str">
        <f t="shared" ref="P3:P11" si="7">UPPER(B3)</f>
        <v>OLIVIA JAIN</v>
      </c>
      <c r="Q3" s="8" t="str">
        <f t="shared" ref="Q3:Q11" si="8">LOWER(B3)</f>
        <v>olivia jain</v>
      </c>
      <c r="R3" s="8">
        <f t="shared" si="0"/>
        <v>2</v>
      </c>
      <c r="S3" s="7" t="str">
        <f t="shared" ref="S3:S11" si="9">CONCATENATE(B3,C3)</f>
        <v>Olivia Jain20</v>
      </c>
      <c r="T3" s="7" t="str">
        <f t="shared" ref="T3:T11" si="10">TRIM(B3)</f>
        <v>Olivia Jain</v>
      </c>
      <c r="U3" s="7" t="str">
        <f t="shared" ref="U3:U11" si="11">PROPER(B3)</f>
        <v>Olivia Jain</v>
      </c>
    </row>
    <row r="4" spans="1:21" x14ac:dyDescent="0.25">
      <c r="A4" s="11">
        <v>3</v>
      </c>
      <c r="B4" s="11" t="s">
        <v>28</v>
      </c>
      <c r="C4" s="12">
        <v>20</v>
      </c>
      <c r="D4" s="10">
        <v>42</v>
      </c>
      <c r="E4" s="10">
        <v>72</v>
      </c>
      <c r="F4" s="10">
        <v>79</v>
      </c>
      <c r="G4" s="10">
        <v>56</v>
      </c>
      <c r="H4" s="10">
        <v>56</v>
      </c>
      <c r="I4" s="3">
        <f t="shared" si="1"/>
        <v>305</v>
      </c>
      <c r="J4" s="4">
        <f t="shared" si="2"/>
        <v>61</v>
      </c>
      <c r="K4" s="5">
        <f t="shared" si="3"/>
        <v>0.61</v>
      </c>
      <c r="L4" s="6" t="s">
        <v>14</v>
      </c>
      <c r="M4" s="6">
        <f t="shared" si="4"/>
        <v>42</v>
      </c>
      <c r="N4" s="6">
        <f t="shared" si="5"/>
        <v>79</v>
      </c>
      <c r="O4" s="8">
        <f t="shared" si="6"/>
        <v>8</v>
      </c>
      <c r="P4" s="8" t="str">
        <f t="shared" si="7"/>
        <v>EVE SHARMA</v>
      </c>
      <c r="Q4" s="8" t="str">
        <f t="shared" si="8"/>
        <v>eve sharma</v>
      </c>
      <c r="R4" s="8">
        <f t="shared" si="0"/>
        <v>3</v>
      </c>
      <c r="S4" s="7" t="str">
        <f t="shared" si="9"/>
        <v>Eve Sharma20</v>
      </c>
      <c r="T4" s="7" t="str">
        <f t="shared" si="10"/>
        <v>Eve Sharma</v>
      </c>
      <c r="U4" s="7" t="str">
        <f t="shared" si="11"/>
        <v>Eve Sharma</v>
      </c>
    </row>
    <row r="5" spans="1:21" x14ac:dyDescent="0.25">
      <c r="A5" s="11">
        <v>4</v>
      </c>
      <c r="B5" s="11" t="s">
        <v>29</v>
      </c>
      <c r="C5" s="12">
        <v>19</v>
      </c>
      <c r="D5" s="10">
        <v>40</v>
      </c>
      <c r="E5" s="10">
        <v>90</v>
      </c>
      <c r="F5" s="10">
        <v>88</v>
      </c>
      <c r="G5" s="10">
        <v>67</v>
      </c>
      <c r="H5" s="10">
        <v>87</v>
      </c>
      <c r="I5" s="3">
        <f t="shared" si="1"/>
        <v>372</v>
      </c>
      <c r="J5" s="4">
        <f t="shared" si="2"/>
        <v>74.400000000000006</v>
      </c>
      <c r="K5" s="5">
        <f t="shared" si="3"/>
        <v>0.74399999999999999</v>
      </c>
      <c r="L5" s="6" t="s">
        <v>13</v>
      </c>
      <c r="M5" s="6">
        <f t="shared" si="4"/>
        <v>40</v>
      </c>
      <c r="N5" s="6">
        <f t="shared" si="5"/>
        <v>90</v>
      </c>
      <c r="O5" s="8">
        <f t="shared" si="6"/>
        <v>7</v>
      </c>
      <c r="P5" s="8" t="str">
        <f t="shared" si="7"/>
        <v>KATE PATEL</v>
      </c>
      <c r="Q5" s="8" t="str">
        <f t="shared" si="8"/>
        <v>kate patel</v>
      </c>
      <c r="R5" s="8">
        <f t="shared" si="0"/>
        <v>1</v>
      </c>
      <c r="S5" s="7" t="str">
        <f t="shared" si="9"/>
        <v>Kate Patel19</v>
      </c>
      <c r="T5" s="7" t="str">
        <f t="shared" si="10"/>
        <v>Kate Patel</v>
      </c>
      <c r="U5" s="7" t="str">
        <f t="shared" si="11"/>
        <v>Kate Patel</v>
      </c>
    </row>
    <row r="6" spans="1:21" x14ac:dyDescent="0.25">
      <c r="A6" s="11">
        <v>5</v>
      </c>
      <c r="B6" s="11" t="s">
        <v>30</v>
      </c>
      <c r="C6" s="12">
        <v>18</v>
      </c>
      <c r="D6" s="10">
        <v>45</v>
      </c>
      <c r="E6" s="10">
        <v>61</v>
      </c>
      <c r="F6" s="10">
        <v>47</v>
      </c>
      <c r="G6" s="10">
        <v>87</v>
      </c>
      <c r="H6" s="10">
        <v>65</v>
      </c>
      <c r="I6" s="3">
        <f t="shared" si="1"/>
        <v>305</v>
      </c>
      <c r="J6" s="4">
        <f t="shared" si="2"/>
        <v>61</v>
      </c>
      <c r="K6" s="5">
        <f t="shared" si="3"/>
        <v>0.61</v>
      </c>
      <c r="L6" s="6" t="s">
        <v>14</v>
      </c>
      <c r="M6" s="6">
        <f t="shared" si="4"/>
        <v>45</v>
      </c>
      <c r="N6" s="6">
        <f>MAX(C6:H6)</f>
        <v>87</v>
      </c>
      <c r="O6" s="8">
        <f t="shared" si="6"/>
        <v>6</v>
      </c>
      <c r="P6" s="8" t="str">
        <f t="shared" si="7"/>
        <v>BOB VAISALI</v>
      </c>
      <c r="Q6" s="8" t="str">
        <f t="shared" si="8"/>
        <v>bob vaisali</v>
      </c>
      <c r="R6" s="8">
        <f t="shared" si="0"/>
        <v>2</v>
      </c>
      <c r="S6" s="7" t="str">
        <f t="shared" si="9"/>
        <v>Bob Vaisali18</v>
      </c>
      <c r="T6" s="7" t="str">
        <f t="shared" si="10"/>
        <v>Bob Vaisali</v>
      </c>
      <c r="U6" s="7" t="str">
        <f t="shared" si="11"/>
        <v>Bob Vaisali</v>
      </c>
    </row>
    <row r="7" spans="1:21" x14ac:dyDescent="0.25">
      <c r="A7" s="11">
        <v>6</v>
      </c>
      <c r="B7" s="11" t="s">
        <v>31</v>
      </c>
      <c r="C7" s="12">
        <v>21</v>
      </c>
      <c r="D7" s="10">
        <v>48</v>
      </c>
      <c r="E7" s="10">
        <v>46</v>
      </c>
      <c r="F7" s="10">
        <v>80</v>
      </c>
      <c r="G7" s="10">
        <v>68</v>
      </c>
      <c r="H7" s="10">
        <v>88</v>
      </c>
      <c r="I7" s="3">
        <f t="shared" si="1"/>
        <v>330</v>
      </c>
      <c r="J7" s="4">
        <f t="shared" si="2"/>
        <v>66</v>
      </c>
      <c r="K7" s="5">
        <f t="shared" si="3"/>
        <v>0.66</v>
      </c>
      <c r="L7" s="6" t="s">
        <v>12</v>
      </c>
      <c r="M7" s="6">
        <f t="shared" si="4"/>
        <v>46</v>
      </c>
      <c r="N7" s="6">
        <f>MAX(C7:H7)</f>
        <v>88</v>
      </c>
      <c r="O7" s="8">
        <f t="shared" si="6"/>
        <v>5</v>
      </c>
      <c r="P7" s="8" t="str">
        <f t="shared" si="7"/>
        <v>JACK BHAI</v>
      </c>
      <c r="Q7" s="8" t="str">
        <f t="shared" si="8"/>
        <v>jack bhai</v>
      </c>
      <c r="R7" s="8">
        <f t="shared" si="0"/>
        <v>5</v>
      </c>
      <c r="S7" s="7" t="str">
        <f t="shared" si="9"/>
        <v>Jack Bhai21</v>
      </c>
      <c r="T7" s="7" t="str">
        <f t="shared" si="10"/>
        <v>Jack Bhai</v>
      </c>
      <c r="U7" s="7" t="str">
        <f t="shared" si="11"/>
        <v>Jack Bhai</v>
      </c>
    </row>
    <row r="8" spans="1:21" x14ac:dyDescent="0.25">
      <c r="A8" s="11">
        <v>7</v>
      </c>
      <c r="B8" s="11" t="s">
        <v>32</v>
      </c>
      <c r="C8" s="12">
        <v>22</v>
      </c>
      <c r="D8" s="10">
        <v>77</v>
      </c>
      <c r="E8" s="10">
        <v>77</v>
      </c>
      <c r="F8" s="10">
        <v>77</v>
      </c>
      <c r="G8" s="10">
        <v>77</v>
      </c>
      <c r="H8" s="10">
        <v>77</v>
      </c>
      <c r="I8" s="3">
        <f t="shared" si="1"/>
        <v>385</v>
      </c>
      <c r="J8" s="4">
        <f t="shared" si="2"/>
        <v>77</v>
      </c>
      <c r="K8" s="5">
        <f t="shared" si="3"/>
        <v>0.77</v>
      </c>
      <c r="L8" s="6" t="s">
        <v>15</v>
      </c>
      <c r="M8" s="6">
        <f t="shared" si="4"/>
        <v>77</v>
      </c>
      <c r="N8" s="6">
        <f>MAX(C8:H8)</f>
        <v>77</v>
      </c>
      <c r="O8" s="8">
        <f t="shared" si="6"/>
        <v>4</v>
      </c>
      <c r="P8" s="8" t="str">
        <f t="shared" si="7"/>
        <v xml:space="preserve"> THALA DHONI</v>
      </c>
      <c r="Q8" s="8" t="str">
        <f t="shared" si="8"/>
        <v xml:space="preserve"> thala dhoni</v>
      </c>
      <c r="R8" s="8">
        <f t="shared" si="0"/>
        <v>0</v>
      </c>
      <c r="S8" s="7" t="str">
        <f t="shared" si="9"/>
        <v xml:space="preserve"> Thala Dhoni22</v>
      </c>
      <c r="T8" s="7" t="str">
        <f t="shared" si="10"/>
        <v>Thala Dhoni</v>
      </c>
      <c r="U8" s="7" t="str">
        <f t="shared" si="11"/>
        <v xml:space="preserve"> Thala Dhoni</v>
      </c>
    </row>
    <row r="9" spans="1:21" x14ac:dyDescent="0.25">
      <c r="A9" s="11">
        <v>8</v>
      </c>
      <c r="B9" s="11" t="s">
        <v>33</v>
      </c>
      <c r="C9" s="12">
        <v>19</v>
      </c>
      <c r="D9" s="10">
        <v>50</v>
      </c>
      <c r="E9" s="10">
        <v>52</v>
      </c>
      <c r="F9" s="10">
        <v>49</v>
      </c>
      <c r="G9" s="10">
        <v>57</v>
      </c>
      <c r="H9" s="10">
        <v>55</v>
      </c>
      <c r="I9" s="3">
        <f t="shared" si="1"/>
        <v>263</v>
      </c>
      <c r="J9" s="4">
        <f t="shared" si="2"/>
        <v>52.6</v>
      </c>
      <c r="K9" s="5">
        <f t="shared" si="3"/>
        <v>0.52600000000000002</v>
      </c>
      <c r="L9" s="6" t="s">
        <v>16</v>
      </c>
      <c r="M9" s="6">
        <f t="shared" si="4"/>
        <v>49</v>
      </c>
      <c r="N9" s="6">
        <f t="shared" si="5"/>
        <v>57</v>
      </c>
      <c r="O9" s="8">
        <f t="shared" si="6"/>
        <v>3</v>
      </c>
      <c r="P9" s="8" t="str">
        <f t="shared" si="7"/>
        <v>HANNAH SINGH</v>
      </c>
      <c r="Q9" s="8" t="str">
        <f t="shared" si="8"/>
        <v>hannah singh</v>
      </c>
      <c r="R9" s="8">
        <f t="shared" si="0"/>
        <v>4</v>
      </c>
      <c r="S9" s="7" t="str">
        <f t="shared" si="9"/>
        <v>Hannah Singh19</v>
      </c>
      <c r="T9" s="7" t="str">
        <f t="shared" si="10"/>
        <v>Hannah Singh</v>
      </c>
      <c r="U9" s="7" t="str">
        <f t="shared" si="11"/>
        <v>Hannah Singh</v>
      </c>
    </row>
    <row r="10" spans="1:21" x14ac:dyDescent="0.25">
      <c r="A10" s="11">
        <v>9</v>
      </c>
      <c r="B10" s="11" t="s">
        <v>34</v>
      </c>
      <c r="C10" s="12">
        <v>22</v>
      </c>
      <c r="D10" s="10">
        <v>86</v>
      </c>
      <c r="E10" s="10">
        <v>48</v>
      </c>
      <c r="F10" s="10">
        <v>71</v>
      </c>
      <c r="G10" s="10">
        <v>98</v>
      </c>
      <c r="H10" s="10">
        <v>88</v>
      </c>
      <c r="I10" s="3">
        <f t="shared" si="1"/>
        <v>391</v>
      </c>
      <c r="J10" s="4">
        <f t="shared" si="2"/>
        <v>78.2</v>
      </c>
      <c r="K10" s="5">
        <f t="shared" si="3"/>
        <v>0.78200000000000003</v>
      </c>
      <c r="L10" s="6" t="s">
        <v>13</v>
      </c>
      <c r="M10" s="6">
        <f t="shared" si="4"/>
        <v>48</v>
      </c>
      <c r="N10" s="6">
        <f t="shared" si="5"/>
        <v>98</v>
      </c>
      <c r="O10" s="8">
        <f t="shared" si="6"/>
        <v>2</v>
      </c>
      <c r="P10" s="8" t="str">
        <f t="shared" si="7"/>
        <v>CHARLIE SINGH</v>
      </c>
      <c r="Q10" s="8" t="str">
        <f t="shared" si="8"/>
        <v>charlie singh</v>
      </c>
      <c r="R10" s="8">
        <f t="shared" si="0"/>
        <v>1</v>
      </c>
      <c r="S10" s="7" t="str">
        <f t="shared" si="9"/>
        <v>Charlie Singh22</v>
      </c>
      <c r="T10" s="7" t="str">
        <f t="shared" si="10"/>
        <v>Charlie Singh</v>
      </c>
      <c r="U10" s="7" t="str">
        <f t="shared" si="11"/>
        <v>Charlie Singh</v>
      </c>
    </row>
    <row r="11" spans="1:21" x14ac:dyDescent="0.25">
      <c r="A11" s="11">
        <v>10</v>
      </c>
      <c r="B11" s="11" t="s">
        <v>35</v>
      </c>
      <c r="C11" s="12">
        <v>18</v>
      </c>
      <c r="D11" s="10">
        <v>46</v>
      </c>
      <c r="E11" s="10">
        <v>66</v>
      </c>
      <c r="F11" s="10">
        <v>46</v>
      </c>
      <c r="G11" s="10">
        <v>55</v>
      </c>
      <c r="H11" s="10">
        <v>89</v>
      </c>
      <c r="I11" s="3">
        <f t="shared" si="1"/>
        <v>302</v>
      </c>
      <c r="J11" s="4">
        <f t="shared" si="2"/>
        <v>60.4</v>
      </c>
      <c r="K11" s="5">
        <f t="shared" si="3"/>
        <v>0.60399999999999998</v>
      </c>
      <c r="L11" s="6" t="s">
        <v>14</v>
      </c>
      <c r="M11" s="6">
        <f t="shared" si="4"/>
        <v>46</v>
      </c>
      <c r="N11" s="6">
        <f t="shared" si="5"/>
        <v>89</v>
      </c>
      <c r="O11" s="8">
        <f t="shared" si="6"/>
        <v>1</v>
      </c>
      <c r="P11" s="8" t="str">
        <f t="shared" si="7"/>
        <v>LIAM PATEL</v>
      </c>
      <c r="Q11" s="8" t="str">
        <f t="shared" si="8"/>
        <v>liam patel</v>
      </c>
      <c r="R11" s="8">
        <f t="shared" si="0"/>
        <v>0</v>
      </c>
      <c r="S11" s="7" t="str">
        <f t="shared" si="9"/>
        <v>Liam Patel18</v>
      </c>
      <c r="T11" s="7" t="str">
        <f t="shared" si="10"/>
        <v>Liam Patel</v>
      </c>
      <c r="U11" s="7" t="str">
        <f t="shared" si="11"/>
        <v>Liam Patel</v>
      </c>
    </row>
    <row r="12" spans="1:21" x14ac:dyDescent="0.25">
      <c r="K12" s="5">
        <f>I3/500</f>
        <v>0.622</v>
      </c>
    </row>
  </sheetData>
  <pageMargins left="0.7" right="0.7" top="0.75" bottom="0.75" header="0.3" footer="0.3"/>
  <pageSetup orientation="portrait" r:id="rId1"/>
  <headerFooter>
    <oddHeader>&amp;L&amp;G&amp;RDarshan University</oddHeader>
    <oddFooter>&amp;CKRISH 119</oddFooter>
  </headerFooter>
  <ignoredErrors>
    <ignoredError sqref="N5" formulaRange="1"/>
  </ignoredErrors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2026-01-20T09:46:07Z</dcterms:created>
  <dcterms:modified xsi:type="dcterms:W3CDTF">2026-01-27T09:51:13Z</dcterms:modified>
</cp:coreProperties>
</file>