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udent\Desktop\KRISH119\"/>
    </mc:Choice>
  </mc:AlternateContent>
  <bookViews>
    <workbookView xWindow="0" yWindow="0" windowWidth="20490" windowHeight="8340"/>
  </bookViews>
  <sheets>
    <sheet name="Sheet1" sheetId="1" r:id="rId1"/>
    <sheet name="Sheet2" sheetId="2" r:id="rId2"/>
  </sheets>
  <definedNames>
    <definedName name="_xlnm._FilterDatabase" localSheetId="0" hidden="1">Sheet1!$D$1:$H$16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L2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2" i="2"/>
  <c r="I11" i="1"/>
  <c r="L11" i="1" s="1"/>
  <c r="I8" i="1"/>
  <c r="L8" i="1" s="1"/>
  <c r="I5" i="1"/>
  <c r="I12" i="1"/>
  <c r="L12" i="1" s="1"/>
  <c r="I15" i="1"/>
  <c r="L15" i="1" s="1"/>
  <c r="I9" i="1"/>
  <c r="I7" i="1"/>
  <c r="L7" i="1" s="1"/>
  <c r="I6" i="1"/>
  <c r="I4" i="1"/>
  <c r="L4" i="1" s="1"/>
  <c r="I3" i="1"/>
  <c r="L3" i="1" s="1"/>
  <c r="I10" i="1"/>
  <c r="I13" i="1"/>
  <c r="I14" i="1"/>
  <c r="I2" i="1"/>
  <c r="I16" i="1"/>
  <c r="L16" i="1" s="1"/>
  <c r="L9" i="1" l="1"/>
  <c r="L13" i="1"/>
  <c r="L6" i="1"/>
  <c r="L14" i="1"/>
  <c r="L10" i="1"/>
  <c r="L5" i="1"/>
</calcChain>
</file>

<file path=xl/sharedStrings.xml><?xml version="1.0" encoding="utf-8"?>
<sst xmlns="http://schemas.openxmlformats.org/spreadsheetml/2006/main" count="142" uniqueCount="62">
  <si>
    <t>Enrollment</t>
  </si>
  <si>
    <t>Name</t>
  </si>
  <si>
    <t>Sub1</t>
  </si>
  <si>
    <t>Sub2</t>
  </si>
  <si>
    <t>Sub3</t>
  </si>
  <si>
    <t>Sub4</t>
  </si>
  <si>
    <t>Sub5</t>
  </si>
  <si>
    <t>Total</t>
  </si>
  <si>
    <t>Percentage</t>
  </si>
  <si>
    <t>Grade</t>
  </si>
  <si>
    <t>Krish</t>
  </si>
  <si>
    <t>Jal</t>
  </si>
  <si>
    <t>Tirth</t>
  </si>
  <si>
    <t>Vijay</t>
  </si>
  <si>
    <t>Suraj</t>
  </si>
  <si>
    <t>Akash</t>
  </si>
  <si>
    <t>Vishal</t>
  </si>
  <si>
    <t>Rudra</t>
  </si>
  <si>
    <t>Param</t>
  </si>
  <si>
    <t>Puru</t>
  </si>
  <si>
    <t>Prithvi</t>
  </si>
  <si>
    <t>Uv</t>
  </si>
  <si>
    <t>Mahi</t>
  </si>
  <si>
    <t>Dhoni</t>
  </si>
  <si>
    <t>Virat</t>
  </si>
  <si>
    <t>Patel</t>
  </si>
  <si>
    <t>A</t>
  </si>
  <si>
    <t>B</t>
  </si>
  <si>
    <t>C</t>
  </si>
  <si>
    <t>CGPA</t>
  </si>
  <si>
    <t>Department</t>
  </si>
  <si>
    <t>CE</t>
  </si>
  <si>
    <t>ICT</t>
  </si>
  <si>
    <t>IT</t>
  </si>
  <si>
    <t>Singh</t>
  </si>
  <si>
    <t>Kohli</t>
  </si>
  <si>
    <t>Last Name</t>
  </si>
  <si>
    <t>Emp ID</t>
  </si>
  <si>
    <t>Emp Name</t>
  </si>
  <si>
    <t>Contact Number</t>
  </si>
  <si>
    <t>Email</t>
  </si>
  <si>
    <t>Salary</t>
  </si>
  <si>
    <t>Joining Date&amp;Time</t>
  </si>
  <si>
    <t>Score</t>
  </si>
  <si>
    <t>1@India.com</t>
  </si>
  <si>
    <t>2@India.com</t>
  </si>
  <si>
    <t>3@India.com</t>
  </si>
  <si>
    <t>4@India.com</t>
  </si>
  <si>
    <t>5@India.com</t>
  </si>
  <si>
    <t>6@India.com</t>
  </si>
  <si>
    <t>7@India.com</t>
  </si>
  <si>
    <t>8@India.com</t>
  </si>
  <si>
    <t>9@India.com</t>
  </si>
  <si>
    <t>10@India.com</t>
  </si>
  <si>
    <t>11@India.com</t>
  </si>
  <si>
    <t>12@India.com</t>
  </si>
  <si>
    <t>13@India.com</t>
  </si>
  <si>
    <t>14@India.com</t>
  </si>
  <si>
    <t>15@India.com</t>
  </si>
  <si>
    <t>HR</t>
  </si>
  <si>
    <t>CS</t>
  </si>
  <si>
    <t>Emp LastName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</si>
</sst>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1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8@India.com" TargetMode="External"/><Relationship Id="rId13" Type="http://schemas.openxmlformats.org/officeDocument/2006/relationships/hyperlink" Target="mailto:13@India.com" TargetMode="External"/><Relationship Id="rId3" Type="http://schemas.openxmlformats.org/officeDocument/2006/relationships/hyperlink" Target="mailto:3@India.com" TargetMode="External"/><Relationship Id="rId7" Type="http://schemas.openxmlformats.org/officeDocument/2006/relationships/hyperlink" Target="mailto:7@India.com" TargetMode="External"/><Relationship Id="rId12" Type="http://schemas.openxmlformats.org/officeDocument/2006/relationships/hyperlink" Target="mailto:12@India.com" TargetMode="External"/><Relationship Id="rId2" Type="http://schemas.openxmlformats.org/officeDocument/2006/relationships/hyperlink" Target="mailto:2@India.com" TargetMode="External"/><Relationship Id="rId1" Type="http://schemas.openxmlformats.org/officeDocument/2006/relationships/hyperlink" Target="mailto:1@India.com" TargetMode="External"/><Relationship Id="rId6" Type="http://schemas.openxmlformats.org/officeDocument/2006/relationships/hyperlink" Target="mailto:6@India.com" TargetMode="External"/><Relationship Id="rId11" Type="http://schemas.openxmlformats.org/officeDocument/2006/relationships/hyperlink" Target="mailto:11@India.com" TargetMode="External"/><Relationship Id="rId5" Type="http://schemas.openxmlformats.org/officeDocument/2006/relationships/hyperlink" Target="mailto:5@India.com" TargetMode="External"/><Relationship Id="rId15" Type="http://schemas.openxmlformats.org/officeDocument/2006/relationships/hyperlink" Target="mailto:15@India.com" TargetMode="External"/><Relationship Id="rId10" Type="http://schemas.openxmlformats.org/officeDocument/2006/relationships/hyperlink" Target="mailto:10@India.com" TargetMode="External"/><Relationship Id="rId4" Type="http://schemas.openxmlformats.org/officeDocument/2006/relationships/hyperlink" Target="mailto:4@India.com" TargetMode="External"/><Relationship Id="rId9" Type="http://schemas.openxmlformats.org/officeDocument/2006/relationships/hyperlink" Target="mailto:9@India.com" TargetMode="External"/><Relationship Id="rId14" Type="http://schemas.openxmlformats.org/officeDocument/2006/relationships/hyperlink" Target="mailto:14@Ind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>
      <selection activeCell="K6" sqref="K6"/>
    </sheetView>
  </sheetViews>
  <sheetFormatPr defaultRowHeight="15" x14ac:dyDescent="0.25"/>
  <cols>
    <col min="1" max="1" width="14.42578125" customWidth="1"/>
    <col min="2" max="2" width="12.42578125" customWidth="1"/>
    <col min="3" max="3" width="11.42578125" customWidth="1"/>
    <col min="10" max="10" width="14" customWidth="1"/>
    <col min="13" max="13" width="14.140625" customWidth="1"/>
  </cols>
  <sheetData>
    <row r="1" spans="1:13" x14ac:dyDescent="0.25">
      <c r="A1" t="s">
        <v>0</v>
      </c>
      <c r="B1" t="s">
        <v>1</v>
      </c>
      <c r="C1" t="s">
        <v>36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29</v>
      </c>
      <c r="M1" t="s">
        <v>30</v>
      </c>
    </row>
    <row r="2" spans="1:13" x14ac:dyDescent="0.25">
      <c r="A2">
        <v>24020201115</v>
      </c>
      <c r="B2" t="s">
        <v>24</v>
      </c>
      <c r="C2" t="s">
        <v>35</v>
      </c>
      <c r="D2">
        <v>49</v>
      </c>
      <c r="E2">
        <v>49</v>
      </c>
      <c r="F2">
        <v>49</v>
      </c>
      <c r="G2">
        <v>49</v>
      </c>
      <c r="H2">
        <v>49</v>
      </c>
      <c r="I2">
        <f>SUM(D2:H2)</f>
        <v>245</v>
      </c>
      <c r="J2">
        <f>I2/500*100</f>
        <v>49</v>
      </c>
      <c r="K2" t="s">
        <v>28</v>
      </c>
      <c r="L2">
        <f>J2/10</f>
        <v>4.9000000000000004</v>
      </c>
      <c r="M2" t="s">
        <v>33</v>
      </c>
    </row>
    <row r="3" spans="1:13" x14ac:dyDescent="0.25">
      <c r="A3">
        <v>24020201111</v>
      </c>
      <c r="B3" t="s">
        <v>20</v>
      </c>
      <c r="C3" t="s">
        <v>25</v>
      </c>
      <c r="D3">
        <v>52</v>
      </c>
      <c r="E3">
        <v>82</v>
      </c>
      <c r="F3">
        <v>55</v>
      </c>
      <c r="G3">
        <v>40</v>
      </c>
      <c r="H3">
        <v>32</v>
      </c>
      <c r="I3">
        <f>SUM(D3:H3)</f>
        <v>261</v>
      </c>
      <c r="J3">
        <f>I3/500*100</f>
        <v>52.2</v>
      </c>
      <c r="K3" t="s">
        <v>28</v>
      </c>
      <c r="L3">
        <f>J3/10</f>
        <v>5.2200000000000006</v>
      </c>
      <c r="M3" t="s">
        <v>32</v>
      </c>
    </row>
    <row r="4" spans="1:13" x14ac:dyDescent="0.25">
      <c r="A4">
        <v>24020201110</v>
      </c>
      <c r="B4" t="s">
        <v>19</v>
      </c>
      <c r="C4" t="s">
        <v>25</v>
      </c>
      <c r="D4">
        <v>52</v>
      </c>
      <c r="E4">
        <v>57</v>
      </c>
      <c r="F4">
        <v>57</v>
      </c>
      <c r="G4">
        <v>36</v>
      </c>
      <c r="H4">
        <v>78</v>
      </c>
      <c r="I4">
        <f>SUM(D4:H4)</f>
        <v>280</v>
      </c>
      <c r="J4">
        <f>I4/500*100</f>
        <v>56.000000000000007</v>
      </c>
      <c r="K4" t="s">
        <v>27</v>
      </c>
      <c r="L4">
        <f>J4/10</f>
        <v>5.6000000000000005</v>
      </c>
      <c r="M4" t="s">
        <v>32</v>
      </c>
    </row>
    <row r="5" spans="1:13" x14ac:dyDescent="0.25">
      <c r="A5">
        <v>24020201104</v>
      </c>
      <c r="B5" t="s">
        <v>13</v>
      </c>
      <c r="C5" t="s">
        <v>25</v>
      </c>
      <c r="D5">
        <v>45</v>
      </c>
      <c r="E5">
        <v>58</v>
      </c>
      <c r="F5">
        <v>68</v>
      </c>
      <c r="G5">
        <v>87</v>
      </c>
      <c r="H5">
        <v>42</v>
      </c>
      <c r="I5">
        <f>SUM(D5:H5)</f>
        <v>300</v>
      </c>
      <c r="J5">
        <f>I5/500*100</f>
        <v>60</v>
      </c>
      <c r="K5" t="s">
        <v>27</v>
      </c>
      <c r="L5">
        <f>J5/10</f>
        <v>6</v>
      </c>
      <c r="M5" t="s">
        <v>31</v>
      </c>
    </row>
    <row r="6" spans="1:13" x14ac:dyDescent="0.25">
      <c r="A6">
        <v>24020201109</v>
      </c>
      <c r="B6" t="s">
        <v>18</v>
      </c>
      <c r="C6" t="s">
        <v>25</v>
      </c>
      <c r="D6">
        <v>36</v>
      </c>
      <c r="E6">
        <v>86</v>
      </c>
      <c r="F6">
        <v>67</v>
      </c>
      <c r="G6">
        <v>34</v>
      </c>
      <c r="H6">
        <v>78</v>
      </c>
      <c r="I6">
        <f>SUM(D6:H6)</f>
        <v>301</v>
      </c>
      <c r="J6">
        <f>I6/500*100</f>
        <v>60.199999999999996</v>
      </c>
      <c r="K6" t="s">
        <v>27</v>
      </c>
      <c r="L6">
        <f>J6/10</f>
        <v>6.02</v>
      </c>
      <c r="M6" t="s">
        <v>31</v>
      </c>
    </row>
    <row r="7" spans="1:13" x14ac:dyDescent="0.25">
      <c r="A7">
        <v>24020201108</v>
      </c>
      <c r="B7" t="s">
        <v>17</v>
      </c>
      <c r="C7" t="s">
        <v>25</v>
      </c>
      <c r="D7">
        <v>52</v>
      </c>
      <c r="E7">
        <v>57</v>
      </c>
      <c r="F7">
        <v>94</v>
      </c>
      <c r="G7">
        <v>60</v>
      </c>
      <c r="H7">
        <v>45</v>
      </c>
      <c r="I7">
        <f>SUM(D7:H7)</f>
        <v>308</v>
      </c>
      <c r="J7">
        <f>I7/500*100</f>
        <v>61.6</v>
      </c>
      <c r="K7" t="s">
        <v>27</v>
      </c>
      <c r="L7">
        <f>J7/10</f>
        <v>6.16</v>
      </c>
      <c r="M7" t="s">
        <v>33</v>
      </c>
    </row>
    <row r="8" spans="1:13" x14ac:dyDescent="0.25">
      <c r="A8">
        <v>24020201103</v>
      </c>
      <c r="B8" t="s">
        <v>12</v>
      </c>
      <c r="C8" t="s">
        <v>25</v>
      </c>
      <c r="D8">
        <v>65</v>
      </c>
      <c r="E8">
        <v>47</v>
      </c>
      <c r="F8">
        <v>55</v>
      </c>
      <c r="G8">
        <v>67</v>
      </c>
      <c r="H8">
        <v>85</v>
      </c>
      <c r="I8">
        <f>SUM(D8:H8)</f>
        <v>319</v>
      </c>
      <c r="J8">
        <f>I8/500*100</f>
        <v>63.800000000000004</v>
      </c>
      <c r="K8" t="s">
        <v>27</v>
      </c>
      <c r="L8">
        <f>J8/10</f>
        <v>6.3800000000000008</v>
      </c>
      <c r="M8" t="s">
        <v>33</v>
      </c>
    </row>
    <row r="9" spans="1:13" x14ac:dyDescent="0.25">
      <c r="A9">
        <v>24020201107</v>
      </c>
      <c r="B9" t="s">
        <v>16</v>
      </c>
      <c r="C9" t="s">
        <v>25</v>
      </c>
      <c r="D9">
        <v>76</v>
      </c>
      <c r="E9">
        <v>92</v>
      </c>
      <c r="F9">
        <v>68</v>
      </c>
      <c r="G9">
        <v>50</v>
      </c>
      <c r="H9">
        <v>36</v>
      </c>
      <c r="I9">
        <f>SUM(D9:H9)</f>
        <v>322</v>
      </c>
      <c r="J9">
        <f>I9/500*100</f>
        <v>64.400000000000006</v>
      </c>
      <c r="K9" t="s">
        <v>27</v>
      </c>
      <c r="L9">
        <f>J9/10</f>
        <v>6.44</v>
      </c>
      <c r="M9" t="s">
        <v>32</v>
      </c>
    </row>
    <row r="10" spans="1:13" x14ac:dyDescent="0.25">
      <c r="A10">
        <v>24020201112</v>
      </c>
      <c r="B10" t="s">
        <v>21</v>
      </c>
      <c r="C10" t="s">
        <v>25</v>
      </c>
      <c r="D10">
        <v>85</v>
      </c>
      <c r="E10">
        <v>55</v>
      </c>
      <c r="F10">
        <v>57</v>
      </c>
      <c r="G10">
        <v>57</v>
      </c>
      <c r="H10">
        <v>85</v>
      </c>
      <c r="I10">
        <f>SUM(D10:H10)</f>
        <v>339</v>
      </c>
      <c r="J10">
        <f>I10/500*100</f>
        <v>67.800000000000011</v>
      </c>
      <c r="K10" t="s">
        <v>27</v>
      </c>
      <c r="L10">
        <f>J10/10</f>
        <v>6.7800000000000011</v>
      </c>
      <c r="M10" t="s">
        <v>31</v>
      </c>
    </row>
    <row r="11" spans="1:13" x14ac:dyDescent="0.25">
      <c r="A11">
        <v>24020201102</v>
      </c>
      <c r="B11" t="s">
        <v>11</v>
      </c>
      <c r="C11" t="s">
        <v>25</v>
      </c>
      <c r="D11">
        <v>78</v>
      </c>
      <c r="E11">
        <v>77</v>
      </c>
      <c r="F11">
        <v>93</v>
      </c>
      <c r="G11">
        <v>78</v>
      </c>
      <c r="H11">
        <v>40</v>
      </c>
      <c r="I11">
        <f>SUM(D11:H11)</f>
        <v>366</v>
      </c>
      <c r="J11">
        <f>I11/500*100</f>
        <v>73.2</v>
      </c>
      <c r="K11" t="s">
        <v>26</v>
      </c>
      <c r="L11">
        <f>J11/10</f>
        <v>7.32</v>
      </c>
      <c r="M11" t="s">
        <v>32</v>
      </c>
    </row>
    <row r="12" spans="1:13" x14ac:dyDescent="0.25">
      <c r="A12">
        <v>24020201105</v>
      </c>
      <c r="B12" t="s">
        <v>14</v>
      </c>
      <c r="C12" t="s">
        <v>25</v>
      </c>
      <c r="D12">
        <v>89</v>
      </c>
      <c r="E12">
        <v>57</v>
      </c>
      <c r="F12">
        <v>95</v>
      </c>
      <c r="G12">
        <v>76</v>
      </c>
      <c r="H12">
        <v>63</v>
      </c>
      <c r="I12">
        <f>SUM(D12:H12)</f>
        <v>380</v>
      </c>
      <c r="J12">
        <f>I12/500*100</f>
        <v>76</v>
      </c>
      <c r="K12" t="s">
        <v>26</v>
      </c>
      <c r="L12">
        <f>J12/10</f>
        <v>7.6</v>
      </c>
      <c r="M12" t="s">
        <v>33</v>
      </c>
    </row>
    <row r="13" spans="1:13" x14ac:dyDescent="0.25">
      <c r="A13">
        <v>24020201113</v>
      </c>
      <c r="B13" t="s">
        <v>22</v>
      </c>
      <c r="C13" t="s">
        <v>34</v>
      </c>
      <c r="D13">
        <v>77</v>
      </c>
      <c r="E13">
        <v>77</v>
      </c>
      <c r="F13">
        <v>77</v>
      </c>
      <c r="G13">
        <v>77</v>
      </c>
      <c r="H13">
        <v>77</v>
      </c>
      <c r="I13">
        <f>SUM(D13:H13)</f>
        <v>385</v>
      </c>
      <c r="J13">
        <f>I13/500*100</f>
        <v>77</v>
      </c>
      <c r="K13" t="s">
        <v>27</v>
      </c>
      <c r="L13">
        <f>J13/10</f>
        <v>7.7</v>
      </c>
      <c r="M13" t="s">
        <v>31</v>
      </c>
    </row>
    <row r="14" spans="1:13" x14ac:dyDescent="0.25">
      <c r="A14">
        <v>24020201114</v>
      </c>
      <c r="B14" t="s">
        <v>23</v>
      </c>
      <c r="C14" t="s">
        <v>34</v>
      </c>
      <c r="D14">
        <v>77</v>
      </c>
      <c r="E14">
        <v>77</v>
      </c>
      <c r="F14">
        <v>77</v>
      </c>
      <c r="G14">
        <v>77</v>
      </c>
      <c r="H14">
        <v>77</v>
      </c>
      <c r="I14">
        <f>SUM(D14:H14)</f>
        <v>385</v>
      </c>
      <c r="J14">
        <f>I14/500*100</f>
        <v>77</v>
      </c>
      <c r="K14" t="s">
        <v>27</v>
      </c>
      <c r="L14">
        <f>J14/10</f>
        <v>7.7</v>
      </c>
      <c r="M14" t="s">
        <v>31</v>
      </c>
    </row>
    <row r="15" spans="1:13" x14ac:dyDescent="0.25">
      <c r="A15">
        <v>24020201106</v>
      </c>
      <c r="B15" t="s">
        <v>15</v>
      </c>
      <c r="C15" t="s">
        <v>25</v>
      </c>
      <c r="D15">
        <v>86</v>
      </c>
      <c r="E15">
        <v>85</v>
      </c>
      <c r="F15">
        <v>69</v>
      </c>
      <c r="G15">
        <v>84</v>
      </c>
      <c r="H15">
        <v>85</v>
      </c>
      <c r="I15">
        <f>SUM(D15:H15)</f>
        <v>409</v>
      </c>
      <c r="J15">
        <f>I15/500*100</f>
        <v>81.8</v>
      </c>
      <c r="K15" t="s">
        <v>26</v>
      </c>
      <c r="L15">
        <f>J15/10</f>
        <v>8.18</v>
      </c>
      <c r="M15" t="s">
        <v>32</v>
      </c>
    </row>
    <row r="16" spans="1:13" x14ac:dyDescent="0.25">
      <c r="A16">
        <v>24020201101</v>
      </c>
      <c r="B16" t="s">
        <v>10</v>
      </c>
      <c r="C16" t="s">
        <v>25</v>
      </c>
      <c r="D16">
        <v>98</v>
      </c>
      <c r="E16">
        <v>97</v>
      </c>
      <c r="F16">
        <v>92</v>
      </c>
      <c r="G16">
        <v>99</v>
      </c>
      <c r="H16">
        <v>96</v>
      </c>
      <c r="I16">
        <f>SUM(D16:H16)</f>
        <v>482</v>
      </c>
      <c r="J16">
        <f>I16/500*100</f>
        <v>96.399999999999991</v>
      </c>
      <c r="K16" t="s">
        <v>26</v>
      </c>
      <c r="L16">
        <f>J16/10</f>
        <v>9.6399999999999988</v>
      </c>
      <c r="M16" t="s">
        <v>31</v>
      </c>
    </row>
  </sheetData>
  <autoFilter ref="D1:H16"/>
  <sortState ref="A2:M16">
    <sortCondition ref="J2:J16"/>
    <sortCondition ref="D2:D16"/>
    <sortCondition ref="A2:A16"/>
  </sortState>
  <conditionalFormatting sqref="D2:H16">
    <cfRule type="cellIs" dxfId="9" priority="1" operator="lessThan">
      <formula>50</formula>
    </cfRule>
    <cfRule type="cellIs" dxfId="8" priority="2" operator="between">
      <formula>50</formula>
      <formula>70</formula>
    </cfRule>
    <cfRule type="cellIs" dxfId="7" priority="3" operator="greaterThan">
      <formula>75</formula>
    </cfRule>
    <cfRule type="cellIs" priority="4" operator="greaterThan">
      <formula>75</formula>
    </cfRule>
  </conditionalFormatting>
  <dataValidations count="2">
    <dataValidation type="decimal" allowBlank="1" showInputMessage="1" showErrorMessage="1" sqref="L2:L16">
      <formula1>0</formula1>
      <formula2>10</formula2>
    </dataValidation>
    <dataValidation type="list" allowBlank="1" showInputMessage="1" showErrorMessage="1" sqref="M2:M16">
      <formula1>"CE,IT,ICT"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A2" sqref="A2"/>
    </sheetView>
  </sheetViews>
  <sheetFormatPr defaultRowHeight="15" x14ac:dyDescent="0.25"/>
  <cols>
    <col min="2" max="3" width="13.85546875" customWidth="1"/>
    <col min="4" max="4" width="16.85546875" customWidth="1"/>
    <col min="5" max="5" width="17.7109375" customWidth="1"/>
    <col min="6" max="6" width="13" customWidth="1"/>
    <col min="7" max="7" width="12.85546875" customWidth="1"/>
    <col min="8" max="8" width="19.85546875" customWidth="1"/>
  </cols>
  <sheetData>
    <row r="1" spans="1:9" x14ac:dyDescent="0.25">
      <c r="A1" t="s">
        <v>37</v>
      </c>
      <c r="B1" t="s">
        <v>38</v>
      </c>
      <c r="C1" t="s">
        <v>61</v>
      </c>
      <c r="D1" t="s">
        <v>39</v>
      </c>
      <c r="E1" t="s">
        <v>40</v>
      </c>
      <c r="F1" t="s">
        <v>30</v>
      </c>
      <c r="G1" t="s">
        <v>41</v>
      </c>
      <c r="H1" t="s">
        <v>42</v>
      </c>
      <c r="I1" t="s">
        <v>43</v>
      </c>
    </row>
    <row r="2" spans="1:9" x14ac:dyDescent="0.25">
      <c r="A2">
        <v>1</v>
      </c>
      <c r="B2" t="s">
        <v>24</v>
      </c>
      <c r="C2" t="s">
        <v>35</v>
      </c>
      <c r="D2">
        <v>9426745720</v>
      </c>
      <c r="E2" s="1" t="s">
        <v>44</v>
      </c>
      <c r="F2" t="s">
        <v>59</v>
      </c>
      <c r="G2">
        <v>50000</v>
      </c>
      <c r="H2" s="2">
        <f ca="1">NOW()</f>
        <v>46056.648046064816</v>
      </c>
      <c r="I2">
        <v>98</v>
      </c>
    </row>
    <row r="3" spans="1:9" x14ac:dyDescent="0.25">
      <c r="A3">
        <v>2</v>
      </c>
      <c r="B3" t="s">
        <v>20</v>
      </c>
      <c r="C3" t="s">
        <v>25</v>
      </c>
      <c r="D3">
        <v>9856321478</v>
      </c>
      <c r="E3" s="1" t="s">
        <v>45</v>
      </c>
      <c r="F3" t="s">
        <v>33</v>
      </c>
      <c r="G3">
        <v>75000</v>
      </c>
      <c r="H3" s="2">
        <f t="shared" ref="H3:H16" ca="1" si="0">NOW()</f>
        <v>46056.648046064816</v>
      </c>
      <c r="I3">
        <v>86</v>
      </c>
    </row>
    <row r="4" spans="1:9" x14ac:dyDescent="0.25">
      <c r="A4">
        <v>3</v>
      </c>
      <c r="B4" t="s">
        <v>19</v>
      </c>
      <c r="C4" t="s">
        <v>25</v>
      </c>
      <c r="D4">
        <v>9874563210</v>
      </c>
      <c r="E4" s="1" t="s">
        <v>46</v>
      </c>
      <c r="F4" t="s">
        <v>60</v>
      </c>
      <c r="G4">
        <v>98000</v>
      </c>
      <c r="H4" s="2">
        <f t="shared" ca="1" si="0"/>
        <v>46056.648046064816</v>
      </c>
      <c r="I4">
        <v>75</v>
      </c>
    </row>
    <row r="5" spans="1:9" x14ac:dyDescent="0.25">
      <c r="A5">
        <v>4</v>
      </c>
      <c r="B5" t="s">
        <v>13</v>
      </c>
      <c r="C5" t="s">
        <v>25</v>
      </c>
      <c r="D5">
        <v>9865302010</v>
      </c>
      <c r="E5" s="1" t="s">
        <v>47</v>
      </c>
      <c r="F5" t="s">
        <v>59</v>
      </c>
      <c r="G5">
        <v>69000</v>
      </c>
      <c r="H5" s="2">
        <f t="shared" ca="1" si="0"/>
        <v>46056.648046064816</v>
      </c>
      <c r="I5">
        <v>87</v>
      </c>
    </row>
    <row r="6" spans="1:9" x14ac:dyDescent="0.25">
      <c r="A6">
        <v>5</v>
      </c>
      <c r="B6" t="s">
        <v>18</v>
      </c>
      <c r="C6" t="s">
        <v>25</v>
      </c>
      <c r="D6">
        <v>9652014520</v>
      </c>
      <c r="E6" s="1" t="s">
        <v>48</v>
      </c>
      <c r="F6" t="s">
        <v>33</v>
      </c>
      <c r="G6">
        <v>41000</v>
      </c>
      <c r="H6" s="2">
        <f t="shared" ca="1" si="0"/>
        <v>46056.648046064816</v>
      </c>
      <c r="I6">
        <v>69</v>
      </c>
    </row>
    <row r="7" spans="1:9" x14ac:dyDescent="0.25">
      <c r="A7">
        <v>6</v>
      </c>
      <c r="B7" t="s">
        <v>17</v>
      </c>
      <c r="C7" t="s">
        <v>25</v>
      </c>
      <c r="D7">
        <v>9638520020</v>
      </c>
      <c r="E7" s="1" t="s">
        <v>49</v>
      </c>
      <c r="F7" t="s">
        <v>60</v>
      </c>
      <c r="G7">
        <v>42500</v>
      </c>
      <c r="H7" s="2">
        <f t="shared" ca="1" si="0"/>
        <v>46056.648046064816</v>
      </c>
      <c r="I7">
        <v>82</v>
      </c>
    </row>
    <row r="8" spans="1:9" x14ac:dyDescent="0.25">
      <c r="A8">
        <v>7</v>
      </c>
      <c r="B8" t="s">
        <v>12</v>
      </c>
      <c r="C8" t="s">
        <v>25</v>
      </c>
      <c r="D8">
        <v>6985473020</v>
      </c>
      <c r="E8" s="1" t="s">
        <v>50</v>
      </c>
      <c r="F8" t="s">
        <v>33</v>
      </c>
      <c r="G8">
        <v>45200</v>
      </c>
      <c r="H8" s="2">
        <f t="shared" ca="1" si="0"/>
        <v>46056.648046064816</v>
      </c>
      <c r="I8">
        <v>72</v>
      </c>
    </row>
    <row r="9" spans="1:9" x14ac:dyDescent="0.25">
      <c r="A9">
        <v>8</v>
      </c>
      <c r="B9" t="s">
        <v>16</v>
      </c>
      <c r="C9" t="s">
        <v>25</v>
      </c>
      <c r="D9">
        <v>7023145614</v>
      </c>
      <c r="E9" s="1" t="s">
        <v>51</v>
      </c>
      <c r="F9" t="s">
        <v>33</v>
      </c>
      <c r="G9">
        <v>46900</v>
      </c>
      <c r="H9" s="2">
        <f t="shared" ca="1" si="0"/>
        <v>46056.648046064816</v>
      </c>
      <c r="I9">
        <v>52</v>
      </c>
    </row>
    <row r="10" spans="1:9" x14ac:dyDescent="0.25">
      <c r="A10">
        <v>9</v>
      </c>
      <c r="B10" t="s">
        <v>21</v>
      </c>
      <c r="C10" t="s">
        <v>25</v>
      </c>
      <c r="D10">
        <v>9862036000</v>
      </c>
      <c r="E10" s="1" t="s">
        <v>52</v>
      </c>
      <c r="F10" t="s">
        <v>60</v>
      </c>
      <c r="G10">
        <v>85400</v>
      </c>
      <c r="H10" s="2">
        <f t="shared" ca="1" si="0"/>
        <v>46056.648046064816</v>
      </c>
      <c r="I10">
        <v>62</v>
      </c>
    </row>
    <row r="11" spans="1:9" x14ac:dyDescent="0.25">
      <c r="A11">
        <v>10</v>
      </c>
      <c r="B11" t="s">
        <v>11</v>
      </c>
      <c r="C11" t="s">
        <v>25</v>
      </c>
      <c r="D11">
        <v>9745620123</v>
      </c>
      <c r="E11" s="1" t="s">
        <v>53</v>
      </c>
      <c r="F11" t="s">
        <v>33</v>
      </c>
      <c r="G11">
        <v>76500</v>
      </c>
      <c r="H11" s="2">
        <f t="shared" ca="1" si="0"/>
        <v>46056.648046064816</v>
      </c>
      <c r="I11">
        <v>85</v>
      </c>
    </row>
    <row r="12" spans="1:9" x14ac:dyDescent="0.25">
      <c r="A12">
        <v>11</v>
      </c>
      <c r="B12" t="s">
        <v>14</v>
      </c>
      <c r="C12" t="s">
        <v>25</v>
      </c>
      <c r="D12">
        <v>9630202020</v>
      </c>
      <c r="E12" s="1" t="s">
        <v>54</v>
      </c>
      <c r="F12" t="s">
        <v>33</v>
      </c>
      <c r="G12">
        <v>78000</v>
      </c>
      <c r="H12" s="2">
        <f t="shared" ca="1" si="0"/>
        <v>46056.648046064816</v>
      </c>
      <c r="I12">
        <v>74</v>
      </c>
    </row>
    <row r="13" spans="1:9" x14ac:dyDescent="0.25">
      <c r="A13">
        <v>12</v>
      </c>
      <c r="B13" t="s">
        <v>22</v>
      </c>
      <c r="C13" t="s">
        <v>34</v>
      </c>
      <c r="D13">
        <v>9647410580</v>
      </c>
      <c r="E13" s="1" t="s">
        <v>55</v>
      </c>
      <c r="F13" t="s">
        <v>60</v>
      </c>
      <c r="G13">
        <v>85000</v>
      </c>
      <c r="H13" s="2">
        <f t="shared" ca="1" si="0"/>
        <v>46056.648046064816</v>
      </c>
      <c r="I13">
        <v>91</v>
      </c>
    </row>
    <row r="14" spans="1:9" x14ac:dyDescent="0.25">
      <c r="A14">
        <v>13</v>
      </c>
      <c r="B14" t="s">
        <v>23</v>
      </c>
      <c r="C14" t="s">
        <v>34</v>
      </c>
      <c r="D14">
        <v>9856020201</v>
      </c>
      <c r="E14" s="1" t="s">
        <v>56</v>
      </c>
      <c r="F14" t="s">
        <v>59</v>
      </c>
      <c r="G14">
        <v>98000</v>
      </c>
      <c r="H14" s="2">
        <f t="shared" ca="1" si="0"/>
        <v>46056.648046064816</v>
      </c>
      <c r="I14">
        <v>82</v>
      </c>
    </row>
    <row r="15" spans="1:9" x14ac:dyDescent="0.25">
      <c r="A15">
        <v>14</v>
      </c>
      <c r="B15" t="s">
        <v>15</v>
      </c>
      <c r="C15" t="s">
        <v>25</v>
      </c>
      <c r="D15">
        <v>9635050456</v>
      </c>
      <c r="E15" s="1" t="s">
        <v>57</v>
      </c>
      <c r="F15" t="s">
        <v>60</v>
      </c>
      <c r="G15">
        <v>74000</v>
      </c>
      <c r="H15" s="2">
        <f t="shared" ca="1" si="0"/>
        <v>46056.648046064816</v>
      </c>
      <c r="I15">
        <v>70</v>
      </c>
    </row>
    <row r="16" spans="1:9" x14ac:dyDescent="0.25">
      <c r="A16">
        <v>15</v>
      </c>
      <c r="B16" t="s">
        <v>10</v>
      </c>
      <c r="C16" t="s">
        <v>25</v>
      </c>
      <c r="D16">
        <v>9865140000</v>
      </c>
      <c r="E16" s="1" t="s">
        <v>58</v>
      </c>
      <c r="F16" t="s">
        <v>59</v>
      </c>
      <c r="G16">
        <v>72000</v>
      </c>
      <c r="H16" s="2">
        <f t="shared" ca="1" si="0"/>
        <v>46056.648046064816</v>
      </c>
      <c r="I16">
        <v>69</v>
      </c>
    </row>
  </sheetData>
  <conditionalFormatting sqref="I2:I16">
    <cfRule type="cellIs" dxfId="6" priority="2" operator="lessThan">
      <formula>75</formula>
    </cfRule>
    <cfRule type="cellIs" dxfId="5" priority="3" operator="between">
      <formula>75</formula>
      <formula>90</formula>
    </cfRule>
    <cfRule type="cellIs" dxfId="4" priority="4" operator="greaterThan">
      <formula>90</formula>
    </cfRule>
  </conditionalFormatting>
  <conditionalFormatting sqref="G2:G16">
    <cfRule type="cellIs" dxfId="0" priority="1" operator="greaterThan">
      <formula>50000</formula>
    </cfRule>
  </conditionalFormatting>
  <dataValidations count="3">
    <dataValidation type="list" allowBlank="1" showInputMessage="1" showErrorMessage="1" sqref="F2:F16">
      <formula1>"HR,IT,CS"</formula1>
    </dataValidation>
    <dataValidation type="decimal" allowBlank="1" showInputMessage="1" showErrorMessage="1" sqref="I1:I16">
      <formula1>0</formula1>
      <formula2>100</formula2>
    </dataValidation>
    <dataValidation type="decimal" allowBlank="1" showInputMessage="1" showErrorMessage="1" sqref="G1:G16">
      <formula1>20000</formula1>
      <formula2>90000</formula2>
    </dataValidation>
  </dataValidations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2026-02-03T08:48:28Z</dcterms:created>
  <dcterms:modified xsi:type="dcterms:W3CDTF">2026-02-03T10:03:13Z</dcterms:modified>
</cp:coreProperties>
</file>